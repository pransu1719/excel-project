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ANSU PATEL\"/>
    </mc:Choice>
  </mc:AlternateContent>
  <bookViews>
    <workbookView xWindow="0" yWindow="0" windowWidth="21570" windowHeight="8055"/>
  </bookViews>
  <sheets>
    <sheet name="Students Grade" sheetId="1" r:id="rId1"/>
    <sheet name="Sales  Data" sheetId="2" r:id="rId2"/>
    <sheet name="Employee 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2" i="2"/>
  <c r="K3" i="2"/>
  <c r="K4" i="2"/>
  <c r="K5" i="2"/>
  <c r="K6" i="2"/>
  <c r="K7" i="2"/>
  <c r="K8" i="2"/>
  <c r="K9" i="2"/>
  <c r="K10" i="2"/>
  <c r="K11" i="2"/>
  <c r="K12" i="2"/>
  <c r="K13" i="2"/>
  <c r="K2" i="2"/>
  <c r="J3" i="2"/>
  <c r="J4" i="2"/>
  <c r="J5" i="2"/>
  <c r="J6" i="2"/>
  <c r="J7" i="2"/>
  <c r="J8" i="2"/>
  <c r="J9" i="2"/>
  <c r="J10" i="2"/>
  <c r="J11" i="2"/>
  <c r="J12" i="2"/>
  <c r="J13" i="2"/>
  <c r="J2" i="2"/>
  <c r="I3" i="2"/>
  <c r="I4" i="2"/>
  <c r="I5" i="2"/>
  <c r="I6" i="2"/>
  <c r="I7" i="2"/>
  <c r="I8" i="2"/>
  <c r="I9" i="2"/>
  <c r="I10" i="2"/>
  <c r="I11" i="2"/>
  <c r="I12" i="2"/>
  <c r="I13" i="2"/>
  <c r="I2" i="2"/>
  <c r="R3" i="1"/>
  <c r="R4" i="1"/>
  <c r="R5" i="1"/>
  <c r="R6" i="1"/>
  <c r="R7" i="1"/>
  <c r="R8" i="1"/>
  <c r="R9" i="1"/>
  <c r="R10" i="1"/>
  <c r="R11" i="1"/>
  <c r="R12" i="1"/>
  <c r="R13" i="1"/>
  <c r="R2" i="1"/>
  <c r="Q3" i="1"/>
  <c r="Q4" i="1"/>
  <c r="Q5" i="1"/>
  <c r="Q6" i="1"/>
  <c r="Q7" i="1"/>
  <c r="Q8" i="1"/>
  <c r="Q9" i="1"/>
  <c r="Q10" i="1"/>
  <c r="Q11" i="1"/>
  <c r="Q12" i="1"/>
  <c r="Q13" i="1"/>
  <c r="Q2" i="1"/>
  <c r="P4" i="1"/>
  <c r="P5" i="1"/>
  <c r="P6" i="1"/>
  <c r="P7" i="1"/>
  <c r="P8" i="1"/>
  <c r="P9" i="1"/>
  <c r="P10" i="1"/>
  <c r="P11" i="1"/>
  <c r="P12" i="1"/>
  <c r="P13" i="1"/>
  <c r="P2" i="1"/>
  <c r="N2" i="1"/>
  <c r="M3" i="1"/>
  <c r="M4" i="1"/>
  <c r="M5" i="1"/>
  <c r="M6" i="1"/>
  <c r="M7" i="1"/>
  <c r="M8" i="1"/>
  <c r="M9" i="1"/>
  <c r="M10" i="1"/>
  <c r="M11" i="1"/>
  <c r="M12" i="1"/>
  <c r="M13" i="1"/>
  <c r="M2" i="1"/>
  <c r="K3" i="1"/>
  <c r="K9" i="1"/>
  <c r="K10" i="1"/>
  <c r="K11" i="1"/>
  <c r="I3" i="1"/>
  <c r="I4" i="1"/>
  <c r="I9" i="1"/>
  <c r="I10" i="1"/>
  <c r="I11" i="1"/>
  <c r="I12" i="1"/>
  <c r="H3" i="1"/>
  <c r="J3" i="1" s="1"/>
  <c r="H4" i="1"/>
  <c r="K4" i="1" s="1"/>
  <c r="H5" i="1"/>
  <c r="I5" i="1" s="1"/>
  <c r="H6" i="1"/>
  <c r="I6" i="1" s="1"/>
  <c r="H7" i="1"/>
  <c r="J7" i="1" s="1"/>
  <c r="H8" i="1"/>
  <c r="J8" i="1" s="1"/>
  <c r="H9" i="1"/>
  <c r="H10" i="1"/>
  <c r="J10" i="1" s="1"/>
  <c r="H11" i="1"/>
  <c r="J11" i="1" s="1"/>
  <c r="H12" i="1"/>
  <c r="K12" i="1" s="1"/>
  <c r="H13" i="1"/>
  <c r="H2" i="1"/>
  <c r="I2" i="1" s="1"/>
  <c r="G3" i="1"/>
  <c r="G4" i="1"/>
  <c r="G5" i="1"/>
  <c r="G6" i="1"/>
  <c r="G7" i="1"/>
  <c r="G8" i="1"/>
  <c r="G9" i="1"/>
  <c r="G10" i="1"/>
  <c r="G11" i="1"/>
  <c r="G12" i="1"/>
  <c r="G13" i="1"/>
  <c r="G2" i="1"/>
  <c r="J6" i="1" l="1"/>
  <c r="J4" i="1"/>
  <c r="J13" i="1"/>
  <c r="K8" i="1"/>
  <c r="I8" i="1"/>
  <c r="J12" i="1"/>
  <c r="K7" i="1"/>
  <c r="J5" i="1"/>
  <c r="J2" i="1"/>
  <c r="I7" i="1"/>
  <c r="O2" i="1"/>
  <c r="J9" i="1"/>
  <c r="K2" i="1"/>
  <c r="K6" i="1"/>
  <c r="K13" i="1"/>
  <c r="K5" i="1"/>
  <c r="I13" i="1"/>
</calcChain>
</file>

<file path=xl/sharedStrings.xml><?xml version="1.0" encoding="utf-8"?>
<sst xmlns="http://schemas.openxmlformats.org/spreadsheetml/2006/main" count="120" uniqueCount="90">
  <si>
    <t>Students ID</t>
  </si>
  <si>
    <t>Student Name</t>
  </si>
  <si>
    <t>Math</t>
  </si>
  <si>
    <t>Science</t>
  </si>
  <si>
    <t>English</t>
  </si>
  <si>
    <t>Total</t>
  </si>
  <si>
    <t>Average</t>
  </si>
  <si>
    <t>Grade</t>
  </si>
  <si>
    <t>Pransu Patel</t>
  </si>
  <si>
    <t>Enrollment Date</t>
  </si>
  <si>
    <t>Rank</t>
  </si>
  <si>
    <t>Student name who score above 80</t>
  </si>
  <si>
    <t>Age</t>
  </si>
  <si>
    <t>Science &amp;Maths&gt;80</t>
  </si>
  <si>
    <t>Maths &gt; 50</t>
  </si>
  <si>
    <t>Students score above 60</t>
  </si>
  <si>
    <t>Left and Faid</t>
  </si>
  <si>
    <t>Name Upper</t>
  </si>
  <si>
    <t>Name Lower</t>
  </si>
  <si>
    <t>Priya Shihora</t>
  </si>
  <si>
    <t>Yashvi Jashani</t>
  </si>
  <si>
    <t>Krina Gori</t>
  </si>
  <si>
    <t>Krinal Dholkiya</t>
  </si>
  <si>
    <t>Asvi Amaliya</t>
  </si>
  <si>
    <t>Sneha Gupta</t>
  </si>
  <si>
    <t>Divyesh Jadav</t>
  </si>
  <si>
    <t>Neev Shankar</t>
  </si>
  <si>
    <t>Ved Dhameliya</t>
  </si>
  <si>
    <t>Tejas Varma</t>
  </si>
  <si>
    <t>Tirth Donga</t>
  </si>
  <si>
    <t>17 - 01 - 2009</t>
  </si>
  <si>
    <t>Priya</t>
  </si>
  <si>
    <t>16 - 09 - 2008</t>
  </si>
  <si>
    <t>19 - 09 - 2000</t>
  </si>
  <si>
    <t>20 - 08 - 2018</t>
  </si>
  <si>
    <t>22- 09 - 2015</t>
  </si>
  <si>
    <t>27 - 02 - 2017</t>
  </si>
  <si>
    <t>26 - 09 - 2001</t>
  </si>
  <si>
    <t>16 - 08 - 2001</t>
  </si>
  <si>
    <t>18 - 06 - 2008</t>
  </si>
  <si>
    <t>13 - 03 - 2002</t>
  </si>
  <si>
    <t>14 - 09 - 2015</t>
  </si>
  <si>
    <t>Sales ID</t>
  </si>
  <si>
    <t>Product CODE</t>
  </si>
  <si>
    <t>Product</t>
  </si>
  <si>
    <t>Region</t>
  </si>
  <si>
    <t>Sales Person</t>
  </si>
  <si>
    <t>Amount</t>
  </si>
  <si>
    <t>Date</t>
  </si>
  <si>
    <t>qty</t>
  </si>
  <si>
    <t>Unit PRICE(VLOOKUP)</t>
  </si>
  <si>
    <t>Discount %</t>
  </si>
  <si>
    <t>final amount</t>
  </si>
  <si>
    <t>Total sales(region)</t>
  </si>
  <si>
    <t>sales value for 'Priya' in 'mar'(INDEX/MATCH):</t>
  </si>
  <si>
    <t>Same using XLOOKUP</t>
  </si>
  <si>
    <t>OFFSET</t>
  </si>
  <si>
    <t>INDIRECT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</si>
  <si>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</si>
  <si>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</si>
  <si>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</si>
  <si>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</si>
  <si>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</si>
  <si>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</si>
  <si>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</si>
  <si>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</si>
  <si>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</si>
  <si>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</si>
  <si>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</si>
  <si>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</si>
  <si>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LAPTOP</t>
  </si>
  <si>
    <t>MOUSE</t>
  </si>
  <si>
    <t>KEYBOARD</t>
  </si>
  <si>
    <t>MOBILE</t>
  </si>
  <si>
    <t>NORTH</t>
  </si>
  <si>
    <t>SOUTH</t>
  </si>
  <si>
    <t>WEST</t>
  </si>
  <si>
    <t>EAST</t>
  </si>
  <si>
    <t>11- 12-2024  11:11AM</t>
  </si>
  <si>
    <t>13 - 09 - 2024  12: 34 AM</t>
  </si>
  <si>
    <t>17 - 08 -2009  2: 45 PM</t>
  </si>
  <si>
    <t>19 - 08 - 2008  3:45 PM</t>
  </si>
  <si>
    <t>20 - 09 - 2006  4 : 58 PM</t>
  </si>
  <si>
    <t>17 - 09 - 2012  3:59 PM</t>
  </si>
  <si>
    <t>20 - 09 - 2009  6:45 AM</t>
  </si>
  <si>
    <t>28 - 02 2024  2:45 PM</t>
  </si>
  <si>
    <t>18 - 09 - 2001  7 :45 PM</t>
  </si>
  <si>
    <t>20 - 08 - 2000  8 : 56 PM</t>
  </si>
  <si>
    <t>22 - 09 - 2002  9 : 45 PM</t>
  </si>
  <si>
    <t>23 - 03 - 2022  6 :57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</si>
</sst>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workbookViewId="0">
      <selection activeCell="C15" sqref="C15"/>
    </sheetView>
  </sheetViews>
  <sheetFormatPr defaultRowHeight="15" x14ac:dyDescent="0.25"/>
  <cols>
    <col min="1" max="2" width="16" customWidth="1"/>
    <col min="3" max="3" width="17.140625" customWidth="1"/>
    <col min="11" max="11" width="33.5703125" customWidth="1"/>
    <col min="13" max="13" width="18.85546875" customWidth="1"/>
    <col min="14" max="14" width="11.5703125" customWidth="1"/>
    <col min="15" max="15" width="23.5703125" customWidth="1"/>
    <col min="16" max="16" width="13.42578125" customWidth="1"/>
    <col min="17" max="17" width="20.85546875" customWidth="1"/>
    <col min="18" max="18" width="19" customWidth="1"/>
    <col min="19" max="19" width="12.42578125" customWidth="1"/>
  </cols>
  <sheetData>
    <row r="1" spans="1:18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>
        <v>101</v>
      </c>
      <c r="B2" t="s">
        <v>8</v>
      </c>
      <c r="C2" s="2" t="s">
        <v>30</v>
      </c>
      <c r="D2">
        <v>89</v>
      </c>
      <c r="E2">
        <v>89</v>
      </c>
      <c r="F2">
        <v>80</v>
      </c>
      <c r="G2">
        <f>SUM(D2:F2)</f>
        <v>258</v>
      </c>
      <c r="H2">
        <f>AVERAGE(D2:F2)</f>
        <v>86</v>
      </c>
      <c r="I2" t="str">
        <f>IF(H2&gt;=90,"A",IF(H2&gt;=80,"B",IF(H2&gt;=60,"C",IF(H2&gt;=50,"D"))))</f>
        <v>B</v>
      </c>
      <c r="J2">
        <f>RANK(H2,$H$2:$H$11,0)</f>
        <v>3</v>
      </c>
      <c r="K2" t="str">
        <f>IF(H2&gt;80,B2," ")</f>
        <v>Pransu Patel</v>
      </c>
      <c r="M2" t="str">
        <f>IF(AND(E2&gt;80,F2&gt;80),"YES","NO")</f>
        <v>NO</v>
      </c>
      <c r="N2">
        <f>COUNTIFS(D2:D13,"&gt;50")</f>
        <v>10</v>
      </c>
      <c r="O2">
        <f>AVERAGEIFS(H2:H13,D2:D13,"&gt;60")</f>
        <v>80.037037037037052</v>
      </c>
      <c r="P2" t="str">
        <f>LEFT(B2,FIND(" ",B2)-1 )</f>
        <v>Pransu</v>
      </c>
      <c r="Q2" t="str">
        <f>UPPER(B2)</f>
        <v>PRANSU PATEL</v>
      </c>
      <c r="R2" t="str">
        <f>LOWER(B2)</f>
        <v>pransu patel</v>
      </c>
    </row>
    <row r="3" spans="1:18" x14ac:dyDescent="0.25">
      <c r="A3">
        <v>102</v>
      </c>
      <c r="B3" t="s">
        <v>19</v>
      </c>
      <c r="C3" s="1" t="s">
        <v>32</v>
      </c>
      <c r="D3">
        <v>78</v>
      </c>
      <c r="E3">
        <v>56</v>
      </c>
      <c r="F3">
        <v>90</v>
      </c>
      <c r="G3">
        <f t="shared" ref="G3:G13" si="0">SUM(D3:F3)</f>
        <v>224</v>
      </c>
      <c r="H3">
        <f t="shared" ref="H3:H13" si="1">AVERAGE(D3:F3)</f>
        <v>74.666666666666671</v>
      </c>
      <c r="I3" t="str">
        <f t="shared" ref="I3:I13" si="2">IF(H3&gt;=90,"A",IF(H3&gt;=80,"B",IF(H3&gt;=60,"C",IF(H3&gt;=50,"D"))))</f>
        <v>C</v>
      </c>
      <c r="J3">
        <f t="shared" ref="J3:J11" si="3">RANK(H3,$H$2:$H$11,0)</f>
        <v>7</v>
      </c>
      <c r="K3" t="str">
        <f t="shared" ref="K3:K13" si="4">IF(H3&gt;80,B3," ")</f>
        <v xml:space="preserve"> </v>
      </c>
      <c r="M3" t="str">
        <f t="shared" ref="M3:M13" si="5">IF(AND(E3&gt;80,F3&gt;80),"YES","NO")</f>
        <v>NO</v>
      </c>
      <c r="P3" t="s">
        <v>31</v>
      </c>
      <c r="Q3" t="str">
        <f t="shared" ref="Q3:Q13" si="6">UPPER(B3)</f>
        <v>PRIYA SHIHORA</v>
      </c>
      <c r="R3" t="str">
        <f t="shared" ref="R3:R13" si="7">LOWER(B3)</f>
        <v>priya shihora</v>
      </c>
    </row>
    <row r="4" spans="1:18" x14ac:dyDescent="0.25">
      <c r="A4">
        <v>103</v>
      </c>
      <c r="B4" t="s">
        <v>20</v>
      </c>
      <c r="C4" t="s">
        <v>33</v>
      </c>
      <c r="D4">
        <v>98</v>
      </c>
      <c r="E4">
        <v>78</v>
      </c>
      <c r="F4">
        <v>70</v>
      </c>
      <c r="G4">
        <f t="shared" si="0"/>
        <v>246</v>
      </c>
      <c r="H4">
        <f t="shared" si="1"/>
        <v>82</v>
      </c>
      <c r="I4" t="str">
        <f t="shared" si="2"/>
        <v>B</v>
      </c>
      <c r="J4">
        <f t="shared" si="3"/>
        <v>5</v>
      </c>
      <c r="K4" t="str">
        <f t="shared" si="4"/>
        <v>Yashvi Jashani</v>
      </c>
      <c r="M4" t="str">
        <f t="shared" si="5"/>
        <v>NO</v>
      </c>
      <c r="P4" t="str">
        <f t="shared" ref="P3:P13" si="8">LEFT(B4,FIND(" ",B4)-1 )</f>
        <v>Yashvi</v>
      </c>
      <c r="Q4" t="str">
        <f t="shared" si="6"/>
        <v>YASHVI JASHANI</v>
      </c>
      <c r="R4" t="str">
        <f t="shared" si="7"/>
        <v>yashvi jashani</v>
      </c>
    </row>
    <row r="5" spans="1:18" x14ac:dyDescent="0.25">
      <c r="A5">
        <v>104</v>
      </c>
      <c r="B5" t="s">
        <v>21</v>
      </c>
      <c r="C5" t="s">
        <v>34</v>
      </c>
      <c r="D5">
        <v>90</v>
      </c>
      <c r="E5">
        <v>89</v>
      </c>
      <c r="F5">
        <v>68</v>
      </c>
      <c r="G5">
        <f t="shared" si="0"/>
        <v>247</v>
      </c>
      <c r="H5">
        <f t="shared" si="1"/>
        <v>82.333333333333329</v>
      </c>
      <c r="I5" t="str">
        <f t="shared" si="2"/>
        <v>B</v>
      </c>
      <c r="J5">
        <f t="shared" si="3"/>
        <v>4</v>
      </c>
      <c r="K5" t="str">
        <f t="shared" si="4"/>
        <v>Krina Gori</v>
      </c>
      <c r="M5" t="str">
        <f t="shared" si="5"/>
        <v>NO</v>
      </c>
      <c r="P5" t="str">
        <f t="shared" si="8"/>
        <v>Krina</v>
      </c>
      <c r="Q5" t="str">
        <f t="shared" si="6"/>
        <v>KRINA GORI</v>
      </c>
      <c r="R5" t="str">
        <f t="shared" si="7"/>
        <v>krina gori</v>
      </c>
    </row>
    <row r="6" spans="1:18" x14ac:dyDescent="0.25">
      <c r="A6">
        <v>105</v>
      </c>
      <c r="B6" t="s">
        <v>22</v>
      </c>
      <c r="C6" t="s">
        <v>35</v>
      </c>
      <c r="D6">
        <v>57</v>
      </c>
      <c r="E6">
        <v>46</v>
      </c>
      <c r="F6">
        <v>90</v>
      </c>
      <c r="G6">
        <f t="shared" si="0"/>
        <v>193</v>
      </c>
      <c r="H6">
        <f t="shared" si="1"/>
        <v>64.333333333333329</v>
      </c>
      <c r="I6" t="str">
        <f t="shared" si="2"/>
        <v>C</v>
      </c>
      <c r="J6">
        <f t="shared" si="3"/>
        <v>9</v>
      </c>
      <c r="K6" t="str">
        <f t="shared" si="4"/>
        <v xml:space="preserve"> </v>
      </c>
      <c r="M6" t="str">
        <f t="shared" si="5"/>
        <v>NO</v>
      </c>
      <c r="P6" t="str">
        <f t="shared" si="8"/>
        <v>Krinal</v>
      </c>
      <c r="Q6" t="str">
        <f t="shared" si="6"/>
        <v>KRINAL DHOLKIYA</v>
      </c>
      <c r="R6" t="str">
        <f t="shared" si="7"/>
        <v>krinal dholkiya</v>
      </c>
    </row>
    <row r="7" spans="1:18" x14ac:dyDescent="0.25">
      <c r="A7">
        <v>106</v>
      </c>
      <c r="B7" t="s">
        <v>23</v>
      </c>
      <c r="C7" t="s">
        <v>36</v>
      </c>
      <c r="D7">
        <v>73</v>
      </c>
      <c r="E7">
        <v>50</v>
      </c>
      <c r="F7">
        <v>80</v>
      </c>
      <c r="G7">
        <f t="shared" si="0"/>
        <v>203</v>
      </c>
      <c r="H7">
        <f t="shared" si="1"/>
        <v>67.666666666666671</v>
      </c>
      <c r="I7" t="str">
        <f t="shared" si="2"/>
        <v>C</v>
      </c>
      <c r="J7">
        <f t="shared" si="3"/>
        <v>8</v>
      </c>
      <c r="K7" t="str">
        <f t="shared" si="4"/>
        <v xml:space="preserve"> </v>
      </c>
      <c r="M7" t="str">
        <f t="shared" si="5"/>
        <v>NO</v>
      </c>
      <c r="P7" t="str">
        <f t="shared" si="8"/>
        <v>Asvi</v>
      </c>
      <c r="Q7" t="str">
        <f t="shared" si="6"/>
        <v>ASVI AMALIYA</v>
      </c>
      <c r="R7" t="str">
        <f t="shared" si="7"/>
        <v>asvi amaliya</v>
      </c>
    </row>
    <row r="8" spans="1:18" x14ac:dyDescent="0.25">
      <c r="A8">
        <v>107</v>
      </c>
      <c r="B8" t="s">
        <v>24</v>
      </c>
      <c r="C8" t="s">
        <v>37</v>
      </c>
      <c r="D8">
        <v>72</v>
      </c>
      <c r="E8">
        <v>70</v>
      </c>
      <c r="F8">
        <v>88</v>
      </c>
      <c r="G8">
        <f t="shared" si="0"/>
        <v>230</v>
      </c>
      <c r="H8">
        <f t="shared" si="1"/>
        <v>76.666666666666671</v>
      </c>
      <c r="I8" t="str">
        <f t="shared" si="2"/>
        <v>C</v>
      </c>
      <c r="J8">
        <f t="shared" si="3"/>
        <v>6</v>
      </c>
      <c r="K8" t="str">
        <f t="shared" si="4"/>
        <v xml:space="preserve"> </v>
      </c>
      <c r="M8" t="str">
        <f t="shared" si="5"/>
        <v>NO</v>
      </c>
      <c r="P8" t="str">
        <f t="shared" si="8"/>
        <v>Sneha</v>
      </c>
      <c r="Q8" t="str">
        <f t="shared" si="6"/>
        <v>SNEHA GUPTA</v>
      </c>
      <c r="R8" t="str">
        <f t="shared" si="7"/>
        <v>sneha gupta</v>
      </c>
    </row>
    <row r="9" spans="1:18" x14ac:dyDescent="0.25">
      <c r="A9">
        <v>108</v>
      </c>
      <c r="B9" t="s">
        <v>25</v>
      </c>
      <c r="C9" s="1" t="s">
        <v>32</v>
      </c>
      <c r="D9">
        <v>94</v>
      </c>
      <c r="E9">
        <v>90</v>
      </c>
      <c r="F9">
        <v>87</v>
      </c>
      <c r="G9">
        <f t="shared" si="0"/>
        <v>271</v>
      </c>
      <c r="H9">
        <f t="shared" si="1"/>
        <v>90.333333333333329</v>
      </c>
      <c r="I9" t="str">
        <f t="shared" si="2"/>
        <v>A</v>
      </c>
      <c r="J9">
        <f t="shared" si="3"/>
        <v>2</v>
      </c>
      <c r="K9" t="str">
        <f t="shared" si="4"/>
        <v>Divyesh Jadav</v>
      </c>
      <c r="M9" t="str">
        <f t="shared" si="5"/>
        <v>YES</v>
      </c>
      <c r="P9" t="str">
        <f t="shared" si="8"/>
        <v>Divyesh</v>
      </c>
      <c r="Q9" t="str">
        <f t="shared" si="6"/>
        <v>DIVYESH JADAV</v>
      </c>
      <c r="R9" t="str">
        <f t="shared" si="7"/>
        <v>divyesh jadav</v>
      </c>
    </row>
    <row r="10" spans="1:18" x14ac:dyDescent="0.25">
      <c r="A10">
        <v>109</v>
      </c>
      <c r="B10" t="s">
        <v>26</v>
      </c>
      <c r="C10" t="s">
        <v>38</v>
      </c>
      <c r="D10">
        <v>99</v>
      </c>
      <c r="E10">
        <v>99</v>
      </c>
      <c r="F10">
        <v>94</v>
      </c>
      <c r="G10">
        <f t="shared" si="0"/>
        <v>292</v>
      </c>
      <c r="H10">
        <f t="shared" si="1"/>
        <v>97.333333333333329</v>
      </c>
      <c r="I10" t="str">
        <f t="shared" si="2"/>
        <v>A</v>
      </c>
      <c r="J10">
        <f t="shared" si="3"/>
        <v>1</v>
      </c>
      <c r="K10" t="str">
        <f t="shared" si="4"/>
        <v>Neev Shankar</v>
      </c>
      <c r="M10" t="str">
        <f t="shared" si="5"/>
        <v>YES</v>
      </c>
      <c r="P10" t="str">
        <f t="shared" si="8"/>
        <v>Neev</v>
      </c>
      <c r="Q10" t="str">
        <f t="shared" si="6"/>
        <v>NEEV SHANKAR</v>
      </c>
      <c r="R10" t="str">
        <f t="shared" si="7"/>
        <v>neev shankar</v>
      </c>
    </row>
    <row r="11" spans="1:18" x14ac:dyDescent="0.25">
      <c r="A11">
        <v>110</v>
      </c>
      <c r="B11" t="s">
        <v>27</v>
      </c>
      <c r="C11" t="s">
        <v>39</v>
      </c>
      <c r="D11">
        <v>72</v>
      </c>
      <c r="E11">
        <v>20</v>
      </c>
      <c r="F11">
        <v>98</v>
      </c>
      <c r="G11">
        <f t="shared" si="0"/>
        <v>190</v>
      </c>
      <c r="H11">
        <f t="shared" si="1"/>
        <v>63.333333333333336</v>
      </c>
      <c r="I11" t="str">
        <f t="shared" si="2"/>
        <v>C</v>
      </c>
      <c r="J11">
        <f t="shared" si="3"/>
        <v>10</v>
      </c>
      <c r="K11" t="str">
        <f t="shared" si="4"/>
        <v xml:space="preserve"> </v>
      </c>
      <c r="M11" t="str">
        <f t="shared" si="5"/>
        <v>NO</v>
      </c>
      <c r="P11" t="str">
        <f t="shared" si="8"/>
        <v>Ved</v>
      </c>
      <c r="Q11" t="str">
        <f t="shared" si="6"/>
        <v>VED DHAMELIYA</v>
      </c>
      <c r="R11" t="str">
        <f t="shared" si="7"/>
        <v>ved dhameliya</v>
      </c>
    </row>
    <row r="12" spans="1:18" x14ac:dyDescent="0.25">
      <c r="A12">
        <v>111</v>
      </c>
      <c r="B12" t="s">
        <v>28</v>
      </c>
      <c r="C12" t="s">
        <v>40</v>
      </c>
      <c r="D12">
        <v>40</v>
      </c>
      <c r="E12">
        <v>60</v>
      </c>
      <c r="F12">
        <v>99</v>
      </c>
      <c r="G12">
        <f t="shared" si="0"/>
        <v>199</v>
      </c>
      <c r="H12">
        <f t="shared" si="1"/>
        <v>66.333333333333329</v>
      </c>
      <c r="I12" t="str">
        <f t="shared" si="2"/>
        <v>C</v>
      </c>
      <c r="J12">
        <f>RANK(H12,$H$2:$H$12,0)</f>
        <v>9</v>
      </c>
      <c r="K12" t="str">
        <f t="shared" si="4"/>
        <v xml:space="preserve"> </v>
      </c>
      <c r="M12" t="str">
        <f t="shared" si="5"/>
        <v>NO</v>
      </c>
      <c r="P12" t="str">
        <f t="shared" si="8"/>
        <v>Tejas</v>
      </c>
      <c r="Q12" t="str">
        <f t="shared" si="6"/>
        <v>TEJAS VARMA</v>
      </c>
      <c r="R12" t="str">
        <f t="shared" si="7"/>
        <v>tejas varma</v>
      </c>
    </row>
    <row r="13" spans="1:18" x14ac:dyDescent="0.25">
      <c r="A13">
        <v>112</v>
      </c>
      <c r="B13" t="s">
        <v>29</v>
      </c>
      <c r="C13" t="s">
        <v>41</v>
      </c>
      <c r="D13">
        <v>30</v>
      </c>
      <c r="E13">
        <v>87</v>
      </c>
      <c r="F13">
        <v>92</v>
      </c>
      <c r="G13">
        <f t="shared" si="0"/>
        <v>209</v>
      </c>
      <c r="H13">
        <f t="shared" si="1"/>
        <v>69.666666666666671</v>
      </c>
      <c r="I13" t="str">
        <f t="shared" si="2"/>
        <v>C</v>
      </c>
      <c r="J13">
        <f>RANK(H13,$H$2:$H$13,0)</f>
        <v>8</v>
      </c>
      <c r="K13" t="str">
        <f t="shared" si="4"/>
        <v xml:space="preserve"> </v>
      </c>
      <c r="M13" t="str">
        <f t="shared" si="5"/>
        <v>YES</v>
      </c>
      <c r="P13" t="str">
        <f t="shared" si="8"/>
        <v>Tirth</v>
      </c>
      <c r="Q13" t="str">
        <f t="shared" si="6"/>
        <v>TIRTH DONGA</v>
      </c>
      <c r="R13" t="str">
        <f t="shared" si="7"/>
        <v>tirth donga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opLeftCell="H1" zoomScale="175" zoomScaleNormal="175" workbookViewId="0">
      <selection activeCell="M2" sqref="M2"/>
    </sheetView>
  </sheetViews>
  <sheetFormatPr defaultRowHeight="15" x14ac:dyDescent="0.25"/>
  <cols>
    <col min="2" max="2" width="13.5703125" customWidth="1"/>
    <col min="3" max="3" width="11.140625" customWidth="1"/>
    <col min="5" max="5" width="15.7109375" customWidth="1"/>
    <col min="6" max="6" width="12.5703125" customWidth="1"/>
    <col min="7" max="7" width="23.5703125" customWidth="1"/>
    <col min="8" max="8" width="19.5703125" customWidth="1"/>
    <col min="9" max="9" width="21.28515625" customWidth="1"/>
    <col min="11" max="11" width="12.28515625" customWidth="1"/>
    <col min="12" max="12" width="14.42578125" customWidth="1"/>
    <col min="13" max="13" width="24.42578125" customWidth="1"/>
    <col min="14" max="14" width="42.140625" bestFit="1" customWidth="1"/>
    <col min="15" max="16" width="22.28515625" customWidth="1"/>
  </cols>
  <sheetData>
    <row r="1" spans="1:17" x14ac:dyDescent="0.25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t="s">
        <v>5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</row>
    <row r="2" spans="1:17" ht="12.75" customHeight="1" x14ac:dyDescent="0.25">
      <c r="A2" s="3">
        <v>101</v>
      </c>
      <c r="B2" s="3" t="s">
        <v>58</v>
      </c>
      <c r="C2" s="3" t="s">
        <v>70</v>
      </c>
      <c r="D2" s="3" t="s">
        <v>74</v>
      </c>
      <c r="E2" s="3" t="s">
        <v>8</v>
      </c>
      <c r="F2" s="3">
        <v>100190</v>
      </c>
      <c r="G2" s="3" t="s">
        <v>78</v>
      </c>
      <c r="H2" s="3">
        <v>3</v>
      </c>
      <c r="I2" s="4">
        <f>VLOOKUP(C2,$C$2:$F$13,4,FALSE)</f>
        <v>100190</v>
      </c>
      <c r="J2">
        <f>H2*I2</f>
        <v>300570</v>
      </c>
      <c r="K2">
        <f>IF(OR(VALUE(J2)&gt;100000,VALUE(H2)&gt;10),0.1,0)</f>
        <v>0.1</v>
      </c>
      <c r="L2">
        <f>I2*(1-K2)</f>
        <v>90171</v>
      </c>
    </row>
    <row r="3" spans="1:17" x14ac:dyDescent="0.25">
      <c r="A3" s="3">
        <v>102</v>
      </c>
      <c r="B3" s="3" t="s">
        <v>59</v>
      </c>
      <c r="C3" s="3" t="s">
        <v>71</v>
      </c>
      <c r="D3" s="3" t="s">
        <v>75</v>
      </c>
      <c r="E3" s="3" t="s">
        <v>19</v>
      </c>
      <c r="F3" s="3">
        <v>209090</v>
      </c>
      <c r="G3" s="3" t="s">
        <v>79</v>
      </c>
      <c r="H3" s="3">
        <v>2</v>
      </c>
      <c r="I3" s="4">
        <f t="shared" ref="I3:I13" si="0">VLOOKUP(C3,$C$2:$F$13,4,FALSE)</f>
        <v>209090</v>
      </c>
      <c r="J3">
        <f t="shared" ref="J3:J13" si="1">H3*I3</f>
        <v>418180</v>
      </c>
      <c r="K3">
        <f t="shared" ref="K3:K13" si="2">IF(OR(VALUE(J3)&gt;100000,VALUE(H3)&gt;10),0.1,0)</f>
        <v>0.1</v>
      </c>
      <c r="L3">
        <f t="shared" ref="L3:L13" si="3">I3*(1-K3)</f>
        <v>188181</v>
      </c>
    </row>
    <row r="4" spans="1:17" x14ac:dyDescent="0.25">
      <c r="A4" s="3">
        <v>103</v>
      </c>
      <c r="B4" s="3" t="s">
        <v>60</v>
      </c>
      <c r="C4" s="3" t="s">
        <v>72</v>
      </c>
      <c r="D4" s="3" t="s">
        <v>76</v>
      </c>
      <c r="E4" s="3" t="s">
        <v>20</v>
      </c>
      <c r="F4" s="3">
        <v>89089</v>
      </c>
      <c r="G4" s="3" t="s">
        <v>80</v>
      </c>
      <c r="H4" s="3">
        <v>1</v>
      </c>
      <c r="I4" s="4">
        <f t="shared" si="0"/>
        <v>89089</v>
      </c>
      <c r="J4">
        <f t="shared" si="1"/>
        <v>89089</v>
      </c>
      <c r="K4">
        <f t="shared" si="2"/>
        <v>0</v>
      </c>
      <c r="L4">
        <f t="shared" si="3"/>
        <v>89089</v>
      </c>
    </row>
    <row r="5" spans="1:17" x14ac:dyDescent="0.25">
      <c r="A5" s="3">
        <v>104</v>
      </c>
      <c r="B5" s="3" t="s">
        <v>61</v>
      </c>
      <c r="C5" s="3" t="s">
        <v>71</v>
      </c>
      <c r="D5" s="3" t="s">
        <v>77</v>
      </c>
      <c r="E5" s="3" t="s">
        <v>21</v>
      </c>
      <c r="F5" s="3">
        <v>98098</v>
      </c>
      <c r="G5" s="3" t="s">
        <v>81</v>
      </c>
      <c r="H5" s="3">
        <v>2</v>
      </c>
      <c r="I5" s="4">
        <f t="shared" si="0"/>
        <v>209090</v>
      </c>
      <c r="J5">
        <f t="shared" si="1"/>
        <v>418180</v>
      </c>
      <c r="K5">
        <f t="shared" si="2"/>
        <v>0.1</v>
      </c>
      <c r="L5">
        <f t="shared" si="3"/>
        <v>188181</v>
      </c>
    </row>
    <row r="6" spans="1:17" x14ac:dyDescent="0.25">
      <c r="A6" s="3">
        <v>105</v>
      </c>
      <c r="B6" s="3" t="s">
        <v>62</v>
      </c>
      <c r="C6" s="3" t="s">
        <v>73</v>
      </c>
      <c r="D6" s="3" t="s">
        <v>74</v>
      </c>
      <c r="E6" s="3" t="s">
        <v>22</v>
      </c>
      <c r="F6" s="3">
        <v>1000000</v>
      </c>
      <c r="G6" s="3" t="s">
        <v>82</v>
      </c>
      <c r="H6" s="3">
        <v>3</v>
      </c>
      <c r="I6" s="4">
        <f t="shared" si="0"/>
        <v>1000000</v>
      </c>
      <c r="J6">
        <f t="shared" si="1"/>
        <v>3000000</v>
      </c>
      <c r="K6">
        <f t="shared" si="2"/>
        <v>0.1</v>
      </c>
      <c r="L6">
        <f t="shared" si="3"/>
        <v>900000</v>
      </c>
    </row>
    <row r="7" spans="1:17" x14ac:dyDescent="0.25">
      <c r="A7" s="3">
        <v>106</v>
      </c>
      <c r="B7" s="3" t="s">
        <v>63</v>
      </c>
      <c r="C7" s="3" t="s">
        <v>70</v>
      </c>
      <c r="D7" s="3" t="s">
        <v>75</v>
      </c>
      <c r="E7" s="3" t="s">
        <v>23</v>
      </c>
      <c r="F7" s="3">
        <v>6000098</v>
      </c>
      <c r="G7" s="3" t="s">
        <v>83</v>
      </c>
      <c r="H7" s="3">
        <v>5</v>
      </c>
      <c r="I7" s="4">
        <f t="shared" si="0"/>
        <v>100190</v>
      </c>
      <c r="J7">
        <f t="shared" si="1"/>
        <v>500950</v>
      </c>
      <c r="K7">
        <f t="shared" si="2"/>
        <v>0.1</v>
      </c>
      <c r="L7">
        <f t="shared" si="3"/>
        <v>90171</v>
      </c>
    </row>
    <row r="8" spans="1:17" x14ac:dyDescent="0.25">
      <c r="A8" s="3">
        <v>107</v>
      </c>
      <c r="B8" s="3" t="s">
        <v>64</v>
      </c>
      <c r="C8" s="3" t="s">
        <v>71</v>
      </c>
      <c r="D8" s="3" t="s">
        <v>77</v>
      </c>
      <c r="E8" s="3" t="s">
        <v>24</v>
      </c>
      <c r="F8" s="3">
        <v>7090009</v>
      </c>
      <c r="G8" s="3" t="s">
        <v>84</v>
      </c>
      <c r="H8" s="3">
        <v>6</v>
      </c>
      <c r="I8" s="4">
        <f t="shared" si="0"/>
        <v>209090</v>
      </c>
      <c r="J8">
        <f t="shared" si="1"/>
        <v>1254540</v>
      </c>
      <c r="K8">
        <f t="shared" si="2"/>
        <v>0.1</v>
      </c>
      <c r="L8">
        <f t="shared" si="3"/>
        <v>188181</v>
      </c>
    </row>
    <row r="9" spans="1:17" x14ac:dyDescent="0.25">
      <c r="A9" s="3">
        <v>108</v>
      </c>
      <c r="B9" s="3" t="s">
        <v>65</v>
      </c>
      <c r="C9" s="3" t="s">
        <v>73</v>
      </c>
      <c r="D9" s="3" t="s">
        <v>76</v>
      </c>
      <c r="E9" s="3" t="s">
        <v>25</v>
      </c>
      <c r="F9" s="3">
        <v>89909</v>
      </c>
      <c r="G9" s="3" t="s">
        <v>85</v>
      </c>
      <c r="H9" s="3">
        <v>7</v>
      </c>
      <c r="I9" s="4">
        <f t="shared" si="0"/>
        <v>1000000</v>
      </c>
      <c r="J9">
        <f t="shared" si="1"/>
        <v>7000000</v>
      </c>
      <c r="K9">
        <f t="shared" si="2"/>
        <v>0.1</v>
      </c>
      <c r="L9">
        <f t="shared" si="3"/>
        <v>900000</v>
      </c>
    </row>
    <row r="10" spans="1:17" x14ac:dyDescent="0.25">
      <c r="A10" s="3">
        <v>109</v>
      </c>
      <c r="B10" s="3" t="s">
        <v>66</v>
      </c>
      <c r="C10" s="3" t="s">
        <v>70</v>
      </c>
      <c r="D10" s="3" t="s">
        <v>74</v>
      </c>
      <c r="E10" s="3" t="s">
        <v>26</v>
      </c>
      <c r="F10" s="3">
        <v>30098</v>
      </c>
      <c r="G10" s="3" t="s">
        <v>86</v>
      </c>
      <c r="H10" s="3">
        <v>5</v>
      </c>
      <c r="I10" s="4">
        <f t="shared" si="0"/>
        <v>100190</v>
      </c>
      <c r="J10">
        <f t="shared" si="1"/>
        <v>500950</v>
      </c>
      <c r="K10">
        <f t="shared" si="2"/>
        <v>0.1</v>
      </c>
      <c r="L10">
        <f t="shared" si="3"/>
        <v>90171</v>
      </c>
    </row>
    <row r="11" spans="1:17" x14ac:dyDescent="0.25">
      <c r="A11" s="3">
        <v>110</v>
      </c>
      <c r="B11" s="3" t="s">
        <v>67</v>
      </c>
      <c r="C11" s="3" t="s">
        <v>72</v>
      </c>
      <c r="D11" s="3" t="s">
        <v>75</v>
      </c>
      <c r="E11" s="3" t="s">
        <v>27</v>
      </c>
      <c r="F11" s="3">
        <v>40098</v>
      </c>
      <c r="G11" s="3" t="s">
        <v>87</v>
      </c>
      <c r="H11" s="3">
        <v>8</v>
      </c>
      <c r="I11" s="4">
        <f t="shared" si="0"/>
        <v>89089</v>
      </c>
      <c r="J11">
        <f t="shared" si="1"/>
        <v>712712</v>
      </c>
      <c r="K11">
        <f t="shared" si="2"/>
        <v>0.1</v>
      </c>
      <c r="L11">
        <f t="shared" si="3"/>
        <v>80180.100000000006</v>
      </c>
    </row>
    <row r="12" spans="1:17" x14ac:dyDescent="0.25">
      <c r="A12" s="3">
        <v>111</v>
      </c>
      <c r="B12" s="3" t="s">
        <v>68</v>
      </c>
      <c r="C12" s="3" t="s">
        <v>70</v>
      </c>
      <c r="D12" s="3" t="s">
        <v>77</v>
      </c>
      <c r="E12" s="3" t="s">
        <v>28</v>
      </c>
      <c r="F12" s="3">
        <v>209879</v>
      </c>
      <c r="G12" s="3" t="s">
        <v>88</v>
      </c>
      <c r="H12" s="3">
        <v>9</v>
      </c>
      <c r="I12" s="4">
        <f t="shared" si="0"/>
        <v>100190</v>
      </c>
      <c r="J12">
        <f t="shared" si="1"/>
        <v>901710</v>
      </c>
      <c r="K12">
        <f t="shared" si="2"/>
        <v>0.1</v>
      </c>
      <c r="L12">
        <f t="shared" si="3"/>
        <v>90171</v>
      </c>
    </row>
    <row r="13" spans="1:17" x14ac:dyDescent="0.25">
      <c r="A13" s="3">
        <v>112</v>
      </c>
      <c r="B13" s="3" t="s">
        <v>69</v>
      </c>
      <c r="C13" s="3" t="s">
        <v>71</v>
      </c>
      <c r="D13" s="3" t="s">
        <v>76</v>
      </c>
      <c r="E13" s="3" t="s">
        <v>29</v>
      </c>
      <c r="F13" s="3">
        <v>67898</v>
      </c>
      <c r="G13" s="3" t="s">
        <v>89</v>
      </c>
      <c r="H13" s="3">
        <v>2</v>
      </c>
      <c r="I13" s="4">
        <f t="shared" si="0"/>
        <v>209090</v>
      </c>
      <c r="J13">
        <f t="shared" si="1"/>
        <v>418180</v>
      </c>
      <c r="K13">
        <f t="shared" si="2"/>
        <v>0.1</v>
      </c>
      <c r="L13">
        <f t="shared" si="3"/>
        <v>188181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mitudiyora@gmail.com</dc:creator>
  <cp:lastModifiedBy>mitudiyora@gmail.com</cp:lastModifiedBy>
  <dcterms:created xsi:type="dcterms:W3CDTF">2026-08-29T04:32:35Z</dcterms:created>
  <dcterms:modified xsi:type="dcterms:W3CDTF">2026-08-29T07:13:14Z</dcterms:modified>
</cp:coreProperties>
</file>