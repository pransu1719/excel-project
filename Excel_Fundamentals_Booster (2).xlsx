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LP TECH\Downloads\"/>
    </mc:Choice>
  </mc:AlternateContent>
  <xr:revisionPtr revIDLastSave="0" documentId="13_ncr:1_{D51DBF25-9C40-4470-85BE-8A315AE137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2" r:id="rId1"/>
    <sheet name="Lookup_Data" sheetId="3" r:id="rId2"/>
    <sheet name="Sales" sheetId="4" r:id="rId3"/>
    <sheet name="Employee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5" l="1"/>
  <c r="B16" i="5"/>
  <c r="I11" i="5"/>
  <c r="L11" i="5" s="1"/>
  <c r="H11" i="5"/>
  <c r="G11" i="5"/>
  <c r="K10" i="5"/>
  <c r="I10" i="5"/>
  <c r="L10" i="5" s="1"/>
  <c r="H10" i="5"/>
  <c r="G10" i="5"/>
  <c r="K9" i="5"/>
  <c r="I9" i="5"/>
  <c r="J9" i="5" s="1"/>
  <c r="H9" i="5"/>
  <c r="G9" i="5"/>
  <c r="I8" i="5"/>
  <c r="L8" i="5" s="1"/>
  <c r="H8" i="5"/>
  <c r="G8" i="5"/>
  <c r="I7" i="5"/>
  <c r="L7" i="5" s="1"/>
  <c r="H7" i="5"/>
  <c r="G7" i="5"/>
  <c r="K6" i="5"/>
  <c r="I6" i="5"/>
  <c r="L6" i="5" s="1"/>
  <c r="H6" i="5"/>
  <c r="G6" i="5"/>
  <c r="K5" i="5"/>
  <c r="I5" i="5"/>
  <c r="J5" i="5" s="1"/>
  <c r="H5" i="5"/>
  <c r="G5" i="5"/>
  <c r="I4" i="5"/>
  <c r="L4" i="5" s="1"/>
  <c r="H4" i="5"/>
  <c r="G4" i="5"/>
  <c r="C22" i="4"/>
  <c r="C21" i="4"/>
  <c r="C20" i="4"/>
  <c r="C19" i="4"/>
  <c r="C18" i="4"/>
  <c r="F13" i="4"/>
  <c r="G13" i="4" s="1"/>
  <c r="F12" i="4"/>
  <c r="G12" i="4" s="1"/>
  <c r="F11" i="4"/>
  <c r="G11" i="4" s="1"/>
  <c r="F10" i="4"/>
  <c r="G10" i="4" s="1"/>
  <c r="J10" i="4" s="1"/>
  <c r="F9" i="4"/>
  <c r="G9" i="4" s="1"/>
  <c r="H9" i="4" s="1"/>
  <c r="F8" i="4"/>
  <c r="G8" i="4" s="1"/>
  <c r="J8" i="4" s="1"/>
  <c r="F7" i="4"/>
  <c r="G7" i="4" s="1"/>
  <c r="F6" i="4"/>
  <c r="G6" i="4" s="1"/>
  <c r="F5" i="4"/>
  <c r="G5" i="4" s="1"/>
  <c r="F4" i="4"/>
  <c r="G4" i="4" s="1"/>
  <c r="C25" i="2"/>
  <c r="C24" i="2"/>
  <c r="C22" i="2"/>
  <c r="J18" i="2"/>
  <c r="I18" i="2"/>
  <c r="H18" i="2"/>
  <c r="E18" i="2"/>
  <c r="F18" i="2" s="1"/>
  <c r="G18" i="2" s="1"/>
  <c r="J17" i="2"/>
  <c r="I17" i="2"/>
  <c r="H17" i="2"/>
  <c r="E17" i="2"/>
  <c r="F17" i="2" s="1"/>
  <c r="G17" i="2" s="1"/>
  <c r="J16" i="2"/>
  <c r="I16" i="2"/>
  <c r="H16" i="2"/>
  <c r="E16" i="2"/>
  <c r="F16" i="2" s="1"/>
  <c r="G16" i="2" s="1"/>
  <c r="J15" i="2"/>
  <c r="I15" i="2"/>
  <c r="H15" i="2"/>
  <c r="E15" i="2"/>
  <c r="F15" i="2" s="1"/>
  <c r="G15" i="2" s="1"/>
  <c r="J14" i="2"/>
  <c r="I14" i="2"/>
  <c r="H14" i="2"/>
  <c r="E14" i="2"/>
  <c r="F14" i="2" s="1"/>
  <c r="G14" i="2" s="1"/>
  <c r="J13" i="2"/>
  <c r="I13" i="2"/>
  <c r="H13" i="2"/>
  <c r="E13" i="2"/>
  <c r="F13" i="2" s="1"/>
  <c r="G13" i="2" s="1"/>
  <c r="J12" i="2"/>
  <c r="I12" i="2"/>
  <c r="H12" i="2"/>
  <c r="E12" i="2"/>
  <c r="F12" i="2" s="1"/>
  <c r="G12" i="2" s="1"/>
  <c r="J11" i="2"/>
  <c r="I11" i="2"/>
  <c r="H11" i="2"/>
  <c r="E11" i="2"/>
  <c r="F11" i="2" s="1"/>
  <c r="G11" i="2" s="1"/>
  <c r="J10" i="2"/>
  <c r="I10" i="2"/>
  <c r="H10" i="2"/>
  <c r="E10" i="2"/>
  <c r="F10" i="2" s="1"/>
  <c r="G10" i="2" s="1"/>
  <c r="J9" i="2"/>
  <c r="I9" i="2"/>
  <c r="H9" i="2"/>
  <c r="E9" i="2"/>
  <c r="F9" i="2" s="1"/>
  <c r="G9" i="2" s="1"/>
  <c r="J8" i="2"/>
  <c r="I8" i="2"/>
  <c r="H8" i="2"/>
  <c r="F8" i="2"/>
  <c r="G8" i="2" s="1"/>
  <c r="E8" i="2"/>
  <c r="J7" i="2"/>
  <c r="I7" i="2"/>
  <c r="H7" i="2"/>
  <c r="E7" i="2"/>
  <c r="F7" i="2" s="1"/>
  <c r="G7" i="2" s="1"/>
  <c r="J6" i="2"/>
  <c r="I6" i="2"/>
  <c r="H6" i="2"/>
  <c r="E6" i="2"/>
  <c r="F6" i="2" s="1"/>
  <c r="J5" i="2"/>
  <c r="I5" i="2"/>
  <c r="H5" i="2"/>
  <c r="E5" i="2"/>
  <c r="F5" i="2" s="1"/>
  <c r="G5" i="2" s="1"/>
  <c r="J4" i="2"/>
  <c r="I4" i="2"/>
  <c r="H4" i="2"/>
  <c r="E4" i="2"/>
  <c r="F4" i="2" s="1"/>
  <c r="G4" i="2" s="1"/>
  <c r="C23" i="4"/>
  <c r="J4" i="4" l="1"/>
  <c r="H4" i="4"/>
  <c r="I4" i="4" s="1"/>
  <c r="C17" i="4"/>
  <c r="J12" i="4"/>
  <c r="H12" i="4"/>
  <c r="I12" i="4" s="1"/>
  <c r="G6" i="2"/>
  <c r="C23" i="2"/>
  <c r="J13" i="4"/>
  <c r="H13" i="4"/>
  <c r="I13" i="4" s="1"/>
  <c r="J5" i="4"/>
  <c r="H5" i="4"/>
  <c r="I5" i="4" s="1"/>
  <c r="J6" i="4"/>
  <c r="H6" i="4"/>
  <c r="I6" i="4" s="1"/>
  <c r="H7" i="4"/>
  <c r="I7" i="4" s="1"/>
  <c r="J7" i="4"/>
  <c r="J11" i="4"/>
  <c r="H11" i="4"/>
  <c r="I11" i="4" s="1"/>
  <c r="I9" i="4"/>
  <c r="J4" i="5"/>
  <c r="L5" i="5"/>
  <c r="J8" i="5"/>
  <c r="L9" i="5"/>
  <c r="J9" i="4"/>
  <c r="K4" i="5"/>
  <c r="K8" i="5"/>
  <c r="H8" i="4"/>
  <c r="I8" i="4" s="1"/>
  <c r="J7" i="5"/>
  <c r="J11" i="5"/>
  <c r="A28" i="2"/>
  <c r="K7" i="5"/>
  <c r="K11" i="5"/>
  <c r="H10" i="4"/>
  <c r="I10" i="4" s="1"/>
  <c r="J6" i="5"/>
  <c r="J10" i="5"/>
</calcChain>
</file>

<file path=xl/sharedStrings.xml><?xml version="1.0" encoding="utf-8"?>
<sst xmlns="http://schemas.openxmlformats.org/spreadsheetml/2006/main" count="185" uniqueCount="150">
  <si>
    <t>Sales</t>
  </si>
  <si>
    <t>Student Grade Analysis</t>
  </si>
  <si>
    <t>StudentID</t>
  </si>
  <si>
    <t>Full Name</t>
  </si>
  <si>
    <t>Math</t>
  </si>
  <si>
    <t>Science</t>
  </si>
  <si>
    <t>Total</t>
  </si>
  <si>
    <t>Average</t>
  </si>
  <si>
    <t>Grade</t>
  </si>
  <si>
    <t>Above80_Both (AND)</t>
  </si>
  <si>
    <t>First Name (TEXT)</t>
  </si>
  <si>
    <t>Name (UPPER)</t>
  </si>
  <si>
    <t>S101</t>
  </si>
  <si>
    <t>Aarav Sharma</t>
  </si>
  <si>
    <t>S102</t>
  </si>
  <si>
    <t>Diya Patel</t>
  </si>
  <si>
    <t>S103</t>
  </si>
  <si>
    <t>Vivaan Gupta</t>
  </si>
  <si>
    <t>S104</t>
  </si>
  <si>
    <t>Isha Verma</t>
  </si>
  <si>
    <t>S105</t>
  </si>
  <si>
    <t>Kabir Singh</t>
  </si>
  <si>
    <t>S106</t>
  </si>
  <si>
    <t>Anaya Joshi</t>
  </si>
  <si>
    <t>S107</t>
  </si>
  <si>
    <t>Reyansh Mehta</t>
  </si>
  <si>
    <t>S108</t>
  </si>
  <si>
    <t>Myra Nair</t>
  </si>
  <si>
    <t>S109</t>
  </si>
  <si>
    <t>Aditya Rao</t>
  </si>
  <si>
    <t>S110</t>
  </si>
  <si>
    <t>Saanvi Iyer</t>
  </si>
  <si>
    <t>S111</t>
  </si>
  <si>
    <t>Arjun Kapoor</t>
  </si>
  <si>
    <t>S112</t>
  </si>
  <si>
    <t>Ira Malhotra</t>
  </si>
  <si>
    <t>S113</t>
  </si>
  <si>
    <t>Vihaan Chawla</t>
  </si>
  <si>
    <t>S114</t>
  </si>
  <si>
    <t>Kiara Bose</t>
  </si>
  <si>
    <t>S115</t>
  </si>
  <si>
    <t>Shaurya Reddy</t>
  </si>
  <si>
    <t>Analysis / Formula Demos</t>
  </si>
  <si>
    <t>Students scoring above 60 in Math (COUNTIFS):</t>
  </si>
  <si>
    <t>Average score of students who scored &gt;60 in Math (AVERAGEIFS):</t>
  </si>
  <si>
    <t>Position of Student ID 'S105' in list (XMATCH):</t>
  </si>
  <si>
    <t xml:space="preserve">  ↳ Same, using INDEX/MATCH-safe alternative (MATCH):</t>
  </si>
  <si>
    <t>Students with Average above 80 (FILTER):</t>
  </si>
  <si>
    <t>Reference / Master Tables</t>
  </si>
  <si>
    <t>Product Master</t>
  </si>
  <si>
    <t>Salesperson Performance (Monthly Sales Amount)</t>
  </si>
  <si>
    <t>ProductCode</t>
  </si>
  <si>
    <t>ProductName</t>
  </si>
  <si>
    <t>Price</t>
  </si>
  <si>
    <t>Salesperson</t>
  </si>
  <si>
    <t>Jan</t>
  </si>
  <si>
    <t>Feb</t>
  </si>
  <si>
    <t>Mar</t>
  </si>
  <si>
    <t>Apr</t>
  </si>
  <si>
    <t>May</t>
  </si>
  <si>
    <t>Jun</t>
  </si>
  <si>
    <t>P001</t>
  </si>
  <si>
    <t>Wireless Mouse</t>
  </si>
  <si>
    <t>Rohit</t>
  </si>
  <si>
    <t>P002</t>
  </si>
  <si>
    <t>Mechanical Keyboard</t>
  </si>
  <si>
    <t>Neha</t>
  </si>
  <si>
    <t>P003</t>
  </si>
  <si>
    <t>27-inch Monitor</t>
  </si>
  <si>
    <t>Aman</t>
  </si>
  <si>
    <t>P004</t>
  </si>
  <si>
    <t>USB-C Hub</t>
  </si>
  <si>
    <t>Priya</t>
  </si>
  <si>
    <t>P005</t>
  </si>
  <si>
    <t>Laptop Stand</t>
  </si>
  <si>
    <t>Karan</t>
  </si>
  <si>
    <t>P006</t>
  </si>
  <si>
    <t>Webcam HD</t>
  </si>
  <si>
    <t>P007</t>
  </si>
  <si>
    <t>Noise Cancelling Headset</t>
  </si>
  <si>
    <t>P008</t>
  </si>
  <si>
    <t>External SSD 1TB</t>
  </si>
  <si>
    <t>Sales Transactions</t>
  </si>
  <si>
    <t>Tax Rate:</t>
  </si>
  <si>
    <t>OrderID</t>
  </si>
  <si>
    <t>Region</t>
  </si>
  <si>
    <t>Qty</t>
  </si>
  <si>
    <t>Unit Price (VLOOKUP)</t>
  </si>
  <si>
    <t>Discount %</t>
  </si>
  <si>
    <t>Final Amount</t>
  </si>
  <si>
    <t>Total + Tax (Absolute Ref)</t>
  </si>
  <si>
    <t>O1001</t>
  </si>
  <si>
    <t>North</t>
  </si>
  <si>
    <t>O1002</t>
  </si>
  <si>
    <t>South</t>
  </si>
  <si>
    <t>O1003</t>
  </si>
  <si>
    <t>East</t>
  </si>
  <si>
    <t>O1004</t>
  </si>
  <si>
    <t>O1005</t>
  </si>
  <si>
    <t>West</t>
  </si>
  <si>
    <t>O1006</t>
  </si>
  <si>
    <t>O1007</t>
  </si>
  <si>
    <t>O1008</t>
  </si>
  <si>
    <t>O1009</t>
  </si>
  <si>
    <t>O1010</t>
  </si>
  <si>
    <t>Total sales — Region 'North', Product 'P001' (SUMIFS):</t>
  </si>
  <si>
    <t>Sales value for 'Aman' in 'Mar' (INDEX/MATCH):</t>
  </si>
  <si>
    <t>Same, using XLOOKUP (flexible search — Excel 365):</t>
  </si>
  <si>
    <t>Position of ProductCode 'P005' in Product Master list (XMATCH):</t>
  </si>
  <si>
    <t xml:space="preserve">  ↳ Safe alternative (MATCH):</t>
  </si>
  <si>
    <t>Dynamic 3-month rolling sum for 'Rohit' from Feb (OFFSET):</t>
  </si>
  <si>
    <t>↑ OFFSET(start_cell, rows, cols, height, width)</t>
  </si>
  <si>
    <t>Dynamic reference — build range name from text (INDIRECT):</t>
  </si>
  <si>
    <t>↑ Change the text inside INDIRECT to point anywhere, e.g. "Lookup_Data!G6:G10"</t>
  </si>
  <si>
    <t>Employee Records</t>
  </si>
  <si>
    <t>EmpID</t>
  </si>
  <si>
    <t>Name</t>
  </si>
  <si>
    <t>Department</t>
  </si>
  <si>
    <t>Date of Birth</t>
  </si>
  <si>
    <t>Date of Joining</t>
  </si>
  <si>
    <t>Salary</t>
  </si>
  <si>
    <t>Age (Years)</t>
  </si>
  <si>
    <t>Days Since Joining</t>
  </si>
  <si>
    <t>Bonus (10%)</t>
  </si>
  <si>
    <t>Bonus Rounded</t>
  </si>
  <si>
    <t>Bonus Ceiling(100)</t>
  </si>
  <si>
    <t>Bonus Floor(100)</t>
  </si>
  <si>
    <t>E201</t>
  </si>
  <si>
    <t>Rohit Sinha</t>
  </si>
  <si>
    <t>E202</t>
  </si>
  <si>
    <t>Neha Kulkarni</t>
  </si>
  <si>
    <t>E203</t>
  </si>
  <si>
    <t>Aman Chopra</t>
  </si>
  <si>
    <t>E204</t>
  </si>
  <si>
    <t>Priya Menon</t>
  </si>
  <si>
    <t>E205</t>
  </si>
  <si>
    <t>Karan Dutta</t>
  </si>
  <si>
    <t>E206</t>
  </si>
  <si>
    <t>Sneha Pillai</t>
  </si>
  <si>
    <t>Marketing</t>
  </si>
  <si>
    <t>E207</t>
  </si>
  <si>
    <t>Rahul Bhatt</t>
  </si>
  <si>
    <t>Finance</t>
  </si>
  <si>
    <t>E208</t>
  </si>
  <si>
    <t>Tanvi Shah</t>
  </si>
  <si>
    <t>HR</t>
  </si>
  <si>
    <t>Search Tool — XLOOKUP Demo</t>
  </si>
  <si>
    <t>Enter EmpID here:</t>
  </si>
  <si>
    <t>Salary (XLOOKUP):</t>
  </si>
  <si>
    <t xml:space="preserve">  ↳ Safe alternative (INDEX/MATCH):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</si>
</sst>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₹#,##0"/>
    <numFmt numFmtId="167" formatCode="dd\-mmm\-yyyy"/>
  </numFmts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FFFFFF"/>
      <name val="Arial"/>
    </font>
    <font>
      <sz val="10"/>
      <name val="Arial"/>
    </font>
    <font>
      <i/>
      <sz val="10"/>
      <color rgb="FF808080"/>
      <name val="Arial"/>
    </font>
    <font>
      <b/>
      <sz val="11"/>
      <color rgb="FF1F4E78"/>
      <name val="Arial"/>
    </font>
    <font>
      <b/>
      <sz val="10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  <xf numFmtId="0" fontId="5" fillId="0" borderId="0" xfId="0" applyFont="1"/>
    <xf numFmtId="0" fontId="3" fillId="0" borderId="0" xfId="0" applyFont="1"/>
    <xf numFmtId="0" fontId="6" fillId="3" borderId="0" xfId="0" applyFont="1" applyFill="1"/>
    <xf numFmtId="164" fontId="6" fillId="3" borderId="0" xfId="0" applyNumberFormat="1" applyFont="1" applyFill="1"/>
    <xf numFmtId="0" fontId="6" fillId="0" borderId="0" xfId="0" applyFont="1" applyAlignment="1">
      <alignment wrapText="1"/>
    </xf>
    <xf numFmtId="0" fontId="0" fillId="3" borderId="0" xfId="0" applyFill="1"/>
    <xf numFmtId="0" fontId="4" fillId="0" borderId="0" xfId="0" applyFont="1"/>
    <xf numFmtId="165" fontId="3" fillId="0" borderId="1" xfId="0" applyNumberFormat="1" applyFont="1" applyBorder="1"/>
    <xf numFmtId="0" fontId="6" fillId="0" borderId="0" xfId="0" applyFont="1"/>
    <xf numFmtId="9" fontId="0" fillId="4" borderId="0" xfId="0" applyNumberFormat="1" applyFill="1"/>
    <xf numFmtId="9" fontId="3" fillId="0" borderId="1" xfId="0" applyNumberFormat="1" applyFont="1" applyBorder="1"/>
    <xf numFmtId="165" fontId="6" fillId="3" borderId="0" xfId="0" applyNumberFormat="1" applyFont="1" applyFill="1"/>
    <xf numFmtId="167" fontId="3" fillId="0" borderId="1" xfId="0" applyNumberFormat="1" applyFont="1" applyBorder="1"/>
    <xf numFmtId="1" fontId="3" fillId="0" borderId="1" xfId="0" applyNumberFormat="1" applyFont="1" applyBorder="1"/>
    <xf numFmtId="0" fontId="7" fillId="4" borderId="0" xfId="0" applyFon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tabSelected="1" topLeftCell="A15" workbookViewId="0">
      <selection activeCell="B31" sqref="B31"/>
    </sheetView>
  </sheetViews>
  <sheetFormatPr defaultRowHeight="14.5" x14ac:dyDescent="0.35"/>
  <cols>
    <col min="1" max="1" width="34" customWidth="1"/>
    <col min="2" max="2" width="20" customWidth="1"/>
    <col min="3" max="3" width="16" customWidth="1"/>
    <col min="4" max="4" width="30" customWidth="1"/>
    <col min="5" max="6" width="12" customWidth="1"/>
    <col min="7" max="7" width="10" customWidth="1"/>
    <col min="8" max="8" width="18" customWidth="1"/>
    <col min="9" max="9" width="16" customWidth="1"/>
    <col min="10" max="10" width="20" customWidth="1"/>
  </cols>
  <sheetData>
    <row r="1" spans="1:10" ht="22" customHeight="1" x14ac:dyDescent="0.4">
      <c r="A1" s="1" t="s">
        <v>1</v>
      </c>
    </row>
    <row r="3" spans="1:10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x14ac:dyDescent="0.35">
      <c r="A4" s="3" t="s">
        <v>12</v>
      </c>
      <c r="B4" s="3" t="s">
        <v>13</v>
      </c>
      <c r="C4" s="3">
        <v>92</v>
      </c>
      <c r="D4" s="3">
        <v>85</v>
      </c>
      <c r="E4" s="3">
        <f t="shared" ref="E4:E18" si="0">C4+D4</f>
        <v>177</v>
      </c>
      <c r="F4" s="4">
        <f t="shared" ref="F4:F18" si="1">E4/2</f>
        <v>88.5</v>
      </c>
      <c r="G4" s="3" t="str">
        <f t="shared" ref="G4:G18" si="2">IF(F4&gt;=90,"A",IF(F4&gt;=75,"B",IF(F4&gt;=60,"C",IF(F4&gt;=40,"D","F"))))</f>
        <v>B</v>
      </c>
      <c r="H4" s="3" t="str">
        <f t="shared" ref="H4:H18" si="3">IF(AND(C4&gt;80,D4&gt;80),"Yes","No")</f>
        <v>Yes</v>
      </c>
      <c r="I4" s="3" t="str">
        <f t="shared" ref="I4:I18" si="4">LEFT(B4,FIND(" ",B4)-1)</f>
        <v>Aarav</v>
      </c>
      <c r="J4" s="3" t="str">
        <f t="shared" ref="J4:J18" si="5">UPPER(B4)</f>
        <v>AARAV SHARMA</v>
      </c>
    </row>
    <row r="5" spans="1:10" x14ac:dyDescent="0.35">
      <c r="A5" s="3" t="s">
        <v>14</v>
      </c>
      <c r="B5" s="3" t="s">
        <v>15</v>
      </c>
      <c r="C5" s="3">
        <v>55</v>
      </c>
      <c r="D5" s="3">
        <v>60</v>
      </c>
      <c r="E5" s="3">
        <f t="shared" si="0"/>
        <v>115</v>
      </c>
      <c r="F5" s="4">
        <f t="shared" si="1"/>
        <v>57.5</v>
      </c>
      <c r="G5" s="3" t="str">
        <f t="shared" si="2"/>
        <v>D</v>
      </c>
      <c r="H5" s="3" t="str">
        <f t="shared" si="3"/>
        <v>No</v>
      </c>
      <c r="I5" s="3" t="str">
        <f t="shared" si="4"/>
        <v>Diya</v>
      </c>
      <c r="J5" s="3" t="str">
        <f t="shared" si="5"/>
        <v>DIYA PATEL</v>
      </c>
    </row>
    <row r="6" spans="1:10" x14ac:dyDescent="0.35">
      <c r="A6" s="3" t="s">
        <v>16</v>
      </c>
      <c r="B6" s="3" t="s">
        <v>17</v>
      </c>
      <c r="C6" s="3">
        <v>78</v>
      </c>
      <c r="D6" s="3">
        <v>82</v>
      </c>
      <c r="E6" s="3">
        <f t="shared" si="0"/>
        <v>160</v>
      </c>
      <c r="F6" s="4">
        <f t="shared" si="1"/>
        <v>80</v>
      </c>
      <c r="G6" s="3" t="str">
        <f t="shared" si="2"/>
        <v>B</v>
      </c>
      <c r="H6" s="3" t="str">
        <f t="shared" si="3"/>
        <v>No</v>
      </c>
      <c r="I6" s="3" t="str">
        <f t="shared" si="4"/>
        <v>Vivaan</v>
      </c>
      <c r="J6" s="3" t="str">
        <f t="shared" si="5"/>
        <v>VIVAAN GUPTA</v>
      </c>
    </row>
    <row r="7" spans="1:10" x14ac:dyDescent="0.35">
      <c r="A7" s="3" t="s">
        <v>18</v>
      </c>
      <c r="B7" s="3" t="s">
        <v>19</v>
      </c>
      <c r="C7" s="3">
        <v>88</v>
      </c>
      <c r="D7" s="3">
        <v>91</v>
      </c>
      <c r="E7" s="3">
        <f t="shared" si="0"/>
        <v>179</v>
      </c>
      <c r="F7" s="4">
        <f t="shared" si="1"/>
        <v>89.5</v>
      </c>
      <c r="G7" s="3" t="str">
        <f t="shared" si="2"/>
        <v>B</v>
      </c>
      <c r="H7" s="3" t="str">
        <f t="shared" si="3"/>
        <v>Yes</v>
      </c>
      <c r="I7" s="3" t="str">
        <f t="shared" si="4"/>
        <v>Isha</v>
      </c>
      <c r="J7" s="3" t="str">
        <f t="shared" si="5"/>
        <v>ISHA VERMA</v>
      </c>
    </row>
    <row r="8" spans="1:10" x14ac:dyDescent="0.35">
      <c r="A8" s="3" t="s">
        <v>20</v>
      </c>
      <c r="B8" s="3" t="s">
        <v>21</v>
      </c>
      <c r="C8" s="3">
        <v>45</v>
      </c>
      <c r="D8" s="3">
        <v>50</v>
      </c>
      <c r="E8" s="3">
        <f t="shared" si="0"/>
        <v>95</v>
      </c>
      <c r="F8" s="4">
        <f t="shared" si="1"/>
        <v>47.5</v>
      </c>
      <c r="G8" s="3" t="str">
        <f t="shared" si="2"/>
        <v>D</v>
      </c>
      <c r="H8" s="3" t="str">
        <f t="shared" si="3"/>
        <v>No</v>
      </c>
      <c r="I8" s="3" t="str">
        <f t="shared" si="4"/>
        <v>Kabir</v>
      </c>
      <c r="J8" s="3" t="str">
        <f t="shared" si="5"/>
        <v>KABIR SINGH</v>
      </c>
    </row>
    <row r="9" spans="1:10" x14ac:dyDescent="0.35">
      <c r="A9" s="3" t="s">
        <v>22</v>
      </c>
      <c r="B9" s="3" t="s">
        <v>23</v>
      </c>
      <c r="C9" s="3">
        <v>95</v>
      </c>
      <c r="D9" s="3">
        <v>89</v>
      </c>
      <c r="E9" s="3">
        <f t="shared" si="0"/>
        <v>184</v>
      </c>
      <c r="F9" s="4">
        <f t="shared" si="1"/>
        <v>92</v>
      </c>
      <c r="G9" s="3" t="str">
        <f t="shared" si="2"/>
        <v>A</v>
      </c>
      <c r="H9" s="3" t="str">
        <f t="shared" si="3"/>
        <v>Yes</v>
      </c>
      <c r="I9" s="3" t="str">
        <f t="shared" si="4"/>
        <v>Anaya</v>
      </c>
      <c r="J9" s="3" t="str">
        <f t="shared" si="5"/>
        <v>ANAYA JOSHI</v>
      </c>
    </row>
    <row r="10" spans="1:10" x14ac:dyDescent="0.35">
      <c r="A10" s="3" t="s">
        <v>24</v>
      </c>
      <c r="B10" s="3" t="s">
        <v>25</v>
      </c>
      <c r="C10" s="3">
        <v>62</v>
      </c>
      <c r="D10" s="3">
        <v>58</v>
      </c>
      <c r="E10" s="3">
        <f t="shared" si="0"/>
        <v>120</v>
      </c>
      <c r="F10" s="4">
        <f t="shared" si="1"/>
        <v>60</v>
      </c>
      <c r="G10" s="3" t="str">
        <f t="shared" si="2"/>
        <v>C</v>
      </c>
      <c r="H10" s="3" t="str">
        <f t="shared" si="3"/>
        <v>No</v>
      </c>
      <c r="I10" s="3" t="str">
        <f t="shared" si="4"/>
        <v>Reyansh</v>
      </c>
      <c r="J10" s="3" t="str">
        <f t="shared" si="5"/>
        <v>REYANSH MEHTA</v>
      </c>
    </row>
    <row r="11" spans="1:10" x14ac:dyDescent="0.35">
      <c r="A11" s="3" t="s">
        <v>26</v>
      </c>
      <c r="B11" s="3" t="s">
        <v>27</v>
      </c>
      <c r="C11" s="3">
        <v>33</v>
      </c>
      <c r="D11" s="3">
        <v>40</v>
      </c>
      <c r="E11" s="3">
        <f t="shared" si="0"/>
        <v>73</v>
      </c>
      <c r="F11" s="4">
        <f t="shared" si="1"/>
        <v>36.5</v>
      </c>
      <c r="G11" s="3" t="str">
        <f t="shared" si="2"/>
        <v>F</v>
      </c>
      <c r="H11" s="3" t="str">
        <f t="shared" si="3"/>
        <v>No</v>
      </c>
      <c r="I11" s="3" t="str">
        <f t="shared" si="4"/>
        <v>Myra</v>
      </c>
      <c r="J11" s="3" t="str">
        <f t="shared" si="5"/>
        <v>MYRA NAIR</v>
      </c>
    </row>
    <row r="12" spans="1:10" x14ac:dyDescent="0.35">
      <c r="A12" s="3" t="s">
        <v>28</v>
      </c>
      <c r="B12" s="3" t="s">
        <v>29</v>
      </c>
      <c r="C12" s="3">
        <v>81</v>
      </c>
      <c r="D12" s="3">
        <v>84</v>
      </c>
      <c r="E12" s="3">
        <f t="shared" si="0"/>
        <v>165</v>
      </c>
      <c r="F12" s="4">
        <f t="shared" si="1"/>
        <v>82.5</v>
      </c>
      <c r="G12" s="3" t="str">
        <f t="shared" si="2"/>
        <v>B</v>
      </c>
      <c r="H12" s="3" t="str">
        <f t="shared" si="3"/>
        <v>Yes</v>
      </c>
      <c r="I12" s="3" t="str">
        <f t="shared" si="4"/>
        <v>Aditya</v>
      </c>
      <c r="J12" s="3" t="str">
        <f t="shared" si="5"/>
        <v>ADITYA RAO</v>
      </c>
    </row>
    <row r="13" spans="1:10" x14ac:dyDescent="0.35">
      <c r="A13" s="3" t="s">
        <v>30</v>
      </c>
      <c r="B13" s="3" t="s">
        <v>31</v>
      </c>
      <c r="C13" s="3">
        <v>70</v>
      </c>
      <c r="D13" s="3">
        <v>75</v>
      </c>
      <c r="E13" s="3">
        <f t="shared" si="0"/>
        <v>145</v>
      </c>
      <c r="F13" s="4">
        <f t="shared" si="1"/>
        <v>72.5</v>
      </c>
      <c r="G13" s="3" t="str">
        <f t="shared" si="2"/>
        <v>C</v>
      </c>
      <c r="H13" s="3" t="str">
        <f t="shared" si="3"/>
        <v>No</v>
      </c>
      <c r="I13" s="3" t="str">
        <f t="shared" si="4"/>
        <v>Saanvi</v>
      </c>
      <c r="J13" s="3" t="str">
        <f t="shared" si="5"/>
        <v>SAANVI IYER</v>
      </c>
    </row>
    <row r="14" spans="1:10" x14ac:dyDescent="0.35">
      <c r="A14" s="3" t="s">
        <v>32</v>
      </c>
      <c r="B14" s="3" t="s">
        <v>33</v>
      </c>
      <c r="C14" s="3">
        <v>58</v>
      </c>
      <c r="D14" s="3">
        <v>65</v>
      </c>
      <c r="E14" s="3">
        <f t="shared" si="0"/>
        <v>123</v>
      </c>
      <c r="F14" s="4">
        <f t="shared" si="1"/>
        <v>61.5</v>
      </c>
      <c r="G14" s="3" t="str">
        <f t="shared" si="2"/>
        <v>C</v>
      </c>
      <c r="H14" s="3" t="str">
        <f t="shared" si="3"/>
        <v>No</v>
      </c>
      <c r="I14" s="3" t="str">
        <f t="shared" si="4"/>
        <v>Arjun</v>
      </c>
      <c r="J14" s="3" t="str">
        <f t="shared" si="5"/>
        <v>ARJUN KAPOOR</v>
      </c>
    </row>
    <row r="15" spans="1:10" x14ac:dyDescent="0.35">
      <c r="A15" s="3" t="s">
        <v>34</v>
      </c>
      <c r="B15" s="3" t="s">
        <v>35</v>
      </c>
      <c r="C15" s="3">
        <v>90</v>
      </c>
      <c r="D15" s="3">
        <v>93</v>
      </c>
      <c r="E15" s="3">
        <f t="shared" si="0"/>
        <v>183</v>
      </c>
      <c r="F15" s="4">
        <f t="shared" si="1"/>
        <v>91.5</v>
      </c>
      <c r="G15" s="3" t="str">
        <f t="shared" si="2"/>
        <v>A</v>
      </c>
      <c r="H15" s="3" t="str">
        <f t="shared" si="3"/>
        <v>Yes</v>
      </c>
      <c r="I15" s="3" t="str">
        <f t="shared" si="4"/>
        <v>Ira</v>
      </c>
      <c r="J15" s="3" t="str">
        <f t="shared" si="5"/>
        <v>IRA MALHOTRA</v>
      </c>
    </row>
    <row r="16" spans="1:10" x14ac:dyDescent="0.35">
      <c r="A16" s="3" t="s">
        <v>36</v>
      </c>
      <c r="B16" s="3" t="s">
        <v>37</v>
      </c>
      <c r="C16" s="3">
        <v>40</v>
      </c>
      <c r="D16" s="3">
        <v>38</v>
      </c>
      <c r="E16" s="3">
        <f t="shared" si="0"/>
        <v>78</v>
      </c>
      <c r="F16" s="4">
        <f t="shared" si="1"/>
        <v>39</v>
      </c>
      <c r="G16" s="3" t="str">
        <f t="shared" si="2"/>
        <v>F</v>
      </c>
      <c r="H16" s="3" t="str">
        <f t="shared" si="3"/>
        <v>No</v>
      </c>
      <c r="I16" s="3" t="str">
        <f t="shared" si="4"/>
        <v>Vihaan</v>
      </c>
      <c r="J16" s="3" t="str">
        <f t="shared" si="5"/>
        <v>VIHAAN CHAWLA</v>
      </c>
    </row>
    <row r="17" spans="1:10" x14ac:dyDescent="0.35">
      <c r="A17" s="3" t="s">
        <v>38</v>
      </c>
      <c r="B17" s="3" t="s">
        <v>39</v>
      </c>
      <c r="C17" s="3">
        <v>85</v>
      </c>
      <c r="D17" s="3">
        <v>80</v>
      </c>
      <c r="E17" s="3">
        <f t="shared" si="0"/>
        <v>165</v>
      </c>
      <c r="F17" s="4">
        <f t="shared" si="1"/>
        <v>82.5</v>
      </c>
      <c r="G17" s="3" t="str">
        <f t="shared" si="2"/>
        <v>B</v>
      </c>
      <c r="H17" s="3" t="str">
        <f t="shared" si="3"/>
        <v>No</v>
      </c>
      <c r="I17" s="3" t="str">
        <f t="shared" si="4"/>
        <v>Kiara</v>
      </c>
      <c r="J17" s="3" t="str">
        <f t="shared" si="5"/>
        <v>KIARA BOSE</v>
      </c>
    </row>
    <row r="18" spans="1:10" x14ac:dyDescent="0.35">
      <c r="A18" s="3" t="s">
        <v>40</v>
      </c>
      <c r="B18" s="3" t="s">
        <v>41</v>
      </c>
      <c r="C18" s="3">
        <v>66</v>
      </c>
      <c r="D18" s="3">
        <v>72</v>
      </c>
      <c r="E18" s="3">
        <f t="shared" si="0"/>
        <v>138</v>
      </c>
      <c r="F18" s="4">
        <f t="shared" si="1"/>
        <v>69</v>
      </c>
      <c r="G18" s="3" t="str">
        <f t="shared" si="2"/>
        <v>C</v>
      </c>
      <c r="H18" s="3" t="str">
        <f t="shared" si="3"/>
        <v>No</v>
      </c>
      <c r="I18" s="3" t="str">
        <f t="shared" si="4"/>
        <v>Shaurya</v>
      </c>
      <c r="J18" s="3" t="str">
        <f t="shared" si="5"/>
        <v>SHAURYA REDDY</v>
      </c>
    </row>
    <row r="21" spans="1:10" x14ac:dyDescent="0.35">
      <c r="A21" s="5" t="s">
        <v>42</v>
      </c>
    </row>
    <row r="22" spans="1:10" x14ac:dyDescent="0.35">
      <c r="A22" s="6" t="s">
        <v>43</v>
      </c>
      <c r="C22" s="7">
        <f>COUNTIFS(C4:C18,"&gt;60")</f>
        <v>10</v>
      </c>
    </row>
    <row r="23" spans="1:10" x14ac:dyDescent="0.35">
      <c r="A23" s="6" t="s">
        <v>44</v>
      </c>
      <c r="C23" s="8">
        <f>AVERAGEIFS(F4:F18,C4:C18,"&gt;60")</f>
        <v>80.8</v>
      </c>
    </row>
    <row r="24" spans="1:10" x14ac:dyDescent="0.35">
      <c r="A24" s="6" t="s">
        <v>45</v>
      </c>
      <c r="C24" s="7">
        <f>_xlfn.XMATCH("S105",A4:A18)</f>
        <v>5</v>
      </c>
    </row>
    <row r="25" spans="1:10" x14ac:dyDescent="0.35">
      <c r="A25" s="6" t="s">
        <v>46</v>
      </c>
      <c r="C25" s="7">
        <f>MATCH("S105",A4:A18,0)</f>
        <v>5</v>
      </c>
    </row>
    <row r="27" spans="1:10" ht="26.5" x14ac:dyDescent="0.35">
      <c r="A27" s="9" t="s">
        <v>47</v>
      </c>
    </row>
    <row r="28" spans="1:10" x14ac:dyDescent="0.35">
      <c r="A28" s="10" t="str">
        <f>_xlfn._xlws.FILTER(B4:B18,F4:F18&gt;80)</f>
        <v>Aarav Sharma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selection activeCell="D16" sqref="D16"/>
    </sheetView>
  </sheetViews>
  <sheetFormatPr defaultRowHeight="14.5" x14ac:dyDescent="0.35"/>
  <cols>
    <col min="1" max="1" width="14" customWidth="1"/>
    <col min="2" max="2" width="22" customWidth="1"/>
    <col min="3" max="3" width="12" customWidth="1"/>
    <col min="4" max="4" width="4" customWidth="1"/>
    <col min="5" max="5" width="14" customWidth="1"/>
    <col min="6" max="11" width="10" customWidth="1"/>
  </cols>
  <sheetData>
    <row r="1" spans="1:11" ht="22" customHeight="1" x14ac:dyDescent="0.4">
      <c r="A1" s="1" t="s">
        <v>48</v>
      </c>
    </row>
    <row r="3" spans="1:11" x14ac:dyDescent="0.35">
      <c r="A3" s="5" t="s">
        <v>49</v>
      </c>
      <c r="E3" s="5" t="s">
        <v>50</v>
      </c>
    </row>
    <row r="4" spans="1:11" x14ac:dyDescent="0.35">
      <c r="A4" s="2" t="s">
        <v>51</v>
      </c>
      <c r="B4" s="2" t="s">
        <v>52</v>
      </c>
      <c r="C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60</v>
      </c>
    </row>
    <row r="5" spans="1:11" x14ac:dyDescent="0.35">
      <c r="A5" s="3" t="s">
        <v>61</v>
      </c>
      <c r="B5" s="3" t="s">
        <v>62</v>
      </c>
      <c r="C5" s="12">
        <v>799</v>
      </c>
      <c r="E5" s="3" t="s">
        <v>63</v>
      </c>
      <c r="F5" s="12">
        <v>45000</v>
      </c>
      <c r="G5" s="12">
        <v>52000</v>
      </c>
      <c r="H5" s="12">
        <v>61000</v>
      </c>
      <c r="I5" s="12">
        <v>47000</v>
      </c>
      <c r="J5" s="12">
        <v>58000</v>
      </c>
      <c r="K5" s="12">
        <v>63000</v>
      </c>
    </row>
    <row r="6" spans="1:11" x14ac:dyDescent="0.35">
      <c r="A6" s="3" t="s">
        <v>64</v>
      </c>
      <c r="B6" s="3" t="s">
        <v>65</v>
      </c>
      <c r="C6" s="12">
        <v>2499</v>
      </c>
      <c r="E6" s="3" t="s">
        <v>66</v>
      </c>
      <c r="F6" s="12">
        <v>38000</v>
      </c>
      <c r="G6" s="12">
        <v>41000</v>
      </c>
      <c r="H6" s="12">
        <v>39000</v>
      </c>
      <c r="I6" s="12">
        <v>50000</v>
      </c>
      <c r="J6" s="12">
        <v>48000</v>
      </c>
      <c r="K6" s="12">
        <v>55000</v>
      </c>
    </row>
    <row r="7" spans="1:11" x14ac:dyDescent="0.35">
      <c r="A7" s="3" t="s">
        <v>67</v>
      </c>
      <c r="B7" s="3" t="s">
        <v>68</v>
      </c>
      <c r="C7" s="12">
        <v>12999</v>
      </c>
      <c r="E7" s="3" t="s">
        <v>69</v>
      </c>
      <c r="F7" s="12">
        <v>60000</v>
      </c>
      <c r="G7" s="12">
        <v>58000</v>
      </c>
      <c r="H7" s="12">
        <v>62000</v>
      </c>
      <c r="I7" s="12">
        <v>65000</v>
      </c>
      <c r="J7" s="12">
        <v>70000</v>
      </c>
      <c r="K7" s="12">
        <v>68000</v>
      </c>
    </row>
    <row r="8" spans="1:11" x14ac:dyDescent="0.35">
      <c r="A8" s="3" t="s">
        <v>70</v>
      </c>
      <c r="B8" s="3" t="s">
        <v>71</v>
      </c>
      <c r="C8" s="12">
        <v>1599</v>
      </c>
      <c r="E8" s="3" t="s">
        <v>72</v>
      </c>
      <c r="F8" s="12">
        <v>29000</v>
      </c>
      <c r="G8" s="12">
        <v>33000</v>
      </c>
      <c r="H8" s="12">
        <v>31000</v>
      </c>
      <c r="I8" s="12">
        <v>40000</v>
      </c>
      <c r="J8" s="12">
        <v>42000</v>
      </c>
      <c r="K8" s="12">
        <v>39000</v>
      </c>
    </row>
    <row r="9" spans="1:11" x14ac:dyDescent="0.35">
      <c r="A9" s="3" t="s">
        <v>73</v>
      </c>
      <c r="B9" s="3" t="s">
        <v>74</v>
      </c>
      <c r="C9" s="12">
        <v>999</v>
      </c>
      <c r="E9" s="3" t="s">
        <v>75</v>
      </c>
      <c r="F9" s="12">
        <v>52000</v>
      </c>
      <c r="G9" s="12">
        <v>49000</v>
      </c>
      <c r="H9" s="12">
        <v>55000</v>
      </c>
      <c r="I9" s="12">
        <v>53000</v>
      </c>
      <c r="J9" s="12">
        <v>60000</v>
      </c>
      <c r="K9" s="12">
        <v>57000</v>
      </c>
    </row>
    <row r="10" spans="1:11" x14ac:dyDescent="0.35">
      <c r="A10" s="3" t="s">
        <v>76</v>
      </c>
      <c r="B10" s="3" t="s">
        <v>77</v>
      </c>
      <c r="C10" s="12">
        <v>1899</v>
      </c>
    </row>
    <row r="11" spans="1:11" x14ac:dyDescent="0.35">
      <c r="A11" s="3" t="s">
        <v>78</v>
      </c>
      <c r="B11" s="3" t="s">
        <v>79</v>
      </c>
      <c r="C11" s="12">
        <v>4499</v>
      </c>
    </row>
    <row r="12" spans="1:11" x14ac:dyDescent="0.35">
      <c r="A12" s="3" t="s">
        <v>80</v>
      </c>
      <c r="B12" s="3" t="s">
        <v>81</v>
      </c>
      <c r="C12" s="12">
        <v>6999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topLeftCell="A8" workbookViewId="0"/>
  </sheetViews>
  <sheetFormatPr defaultRowHeight="14.5" x14ac:dyDescent="0.35"/>
  <cols>
    <col min="1" max="1" width="53.90625" bestFit="1" customWidth="1"/>
    <col min="2" max="2" width="14" customWidth="1"/>
    <col min="3" max="3" width="10" customWidth="1"/>
    <col min="4" max="4" width="14" customWidth="1"/>
    <col min="5" max="5" width="8" customWidth="1"/>
    <col min="6" max="6" width="20" customWidth="1"/>
    <col min="7" max="8" width="12" customWidth="1"/>
    <col min="9" max="9" width="14" customWidth="1"/>
    <col min="10" max="10" width="26" customWidth="1"/>
  </cols>
  <sheetData>
    <row r="1" spans="1:10" ht="22" customHeight="1" x14ac:dyDescent="0.4">
      <c r="A1" s="1" t="s">
        <v>82</v>
      </c>
      <c r="G1" s="13" t="s">
        <v>83</v>
      </c>
      <c r="H1" s="14">
        <v>0.18</v>
      </c>
    </row>
    <row r="3" spans="1:10" x14ac:dyDescent="0.35">
      <c r="A3" s="2" t="s">
        <v>84</v>
      </c>
      <c r="B3" s="2" t="s">
        <v>51</v>
      </c>
      <c r="C3" s="2" t="s">
        <v>85</v>
      </c>
      <c r="D3" s="2" t="s">
        <v>54</v>
      </c>
      <c r="E3" s="2" t="s">
        <v>86</v>
      </c>
      <c r="F3" s="2" t="s">
        <v>87</v>
      </c>
      <c r="G3" s="2" t="s">
        <v>6</v>
      </c>
      <c r="H3" s="2" t="s">
        <v>88</v>
      </c>
      <c r="I3" s="2" t="s">
        <v>89</v>
      </c>
      <c r="J3" s="2" t="s">
        <v>90</v>
      </c>
    </row>
    <row r="4" spans="1:10" x14ac:dyDescent="0.35">
      <c r="A4" s="3" t="s">
        <v>91</v>
      </c>
      <c r="B4" s="3" t="s">
        <v>61</v>
      </c>
      <c r="C4" s="3" t="s">
        <v>92</v>
      </c>
      <c r="D4" s="3" t="s">
        <v>63</v>
      </c>
      <c r="E4" s="3">
        <v>3</v>
      </c>
      <c r="F4" s="12">
        <f>VLOOKUP(B4,Lookup_Data!$A$5:$C$12,3,FALSE)</f>
        <v>799</v>
      </c>
      <c r="G4" s="12">
        <f t="shared" ref="G4:G13" si="0">E4*F4</f>
        <v>2397</v>
      </c>
      <c r="H4" s="15">
        <f t="shared" ref="H4:H13" si="1">IF(OR(G4&gt;10000,E4&gt;10),0.1,0)</f>
        <v>0</v>
      </c>
      <c r="I4" s="12">
        <f t="shared" ref="I4:I13" si="2">G4*(1-H4)</f>
        <v>2397</v>
      </c>
      <c r="J4" s="12">
        <f t="shared" ref="J4:J13" si="3">G4*(1+$H$1)</f>
        <v>2828.46</v>
      </c>
    </row>
    <row r="5" spans="1:10" x14ac:dyDescent="0.35">
      <c r="A5" s="3" t="s">
        <v>93</v>
      </c>
      <c r="B5" s="3" t="s">
        <v>67</v>
      </c>
      <c r="C5" s="3" t="s">
        <v>94</v>
      </c>
      <c r="D5" s="3" t="s">
        <v>66</v>
      </c>
      <c r="E5" s="3">
        <v>1</v>
      </c>
      <c r="F5" s="12">
        <f>VLOOKUP(B5,Lookup_Data!$A$5:$C$12,3,FALSE)</f>
        <v>12999</v>
      </c>
      <c r="G5" s="12">
        <f t="shared" si="0"/>
        <v>12999</v>
      </c>
      <c r="H5" s="15">
        <f t="shared" si="1"/>
        <v>0.1</v>
      </c>
      <c r="I5" s="12">
        <f t="shared" si="2"/>
        <v>11699.1</v>
      </c>
      <c r="J5" s="12">
        <f t="shared" si="3"/>
        <v>15338.82</v>
      </c>
    </row>
    <row r="6" spans="1:10" x14ac:dyDescent="0.35">
      <c r="A6" s="3" t="s">
        <v>95</v>
      </c>
      <c r="B6" s="3" t="s">
        <v>64</v>
      </c>
      <c r="C6" s="3" t="s">
        <v>96</v>
      </c>
      <c r="D6" s="3" t="s">
        <v>69</v>
      </c>
      <c r="E6" s="3">
        <v>5</v>
      </c>
      <c r="F6" s="12">
        <f>VLOOKUP(B6,Lookup_Data!$A$5:$C$12,3,FALSE)</f>
        <v>2499</v>
      </c>
      <c r="G6" s="12">
        <f t="shared" si="0"/>
        <v>12495</v>
      </c>
      <c r="H6" s="15">
        <f t="shared" si="1"/>
        <v>0.1</v>
      </c>
      <c r="I6" s="12">
        <f t="shared" si="2"/>
        <v>11245.5</v>
      </c>
      <c r="J6" s="12">
        <f t="shared" si="3"/>
        <v>14744.099999999999</v>
      </c>
    </row>
    <row r="7" spans="1:10" x14ac:dyDescent="0.35">
      <c r="A7" s="3" t="s">
        <v>97</v>
      </c>
      <c r="B7" s="3" t="s">
        <v>73</v>
      </c>
      <c r="C7" s="3" t="s">
        <v>92</v>
      </c>
      <c r="D7" s="3" t="s">
        <v>72</v>
      </c>
      <c r="E7" s="3">
        <v>12</v>
      </c>
      <c r="F7" s="12">
        <f>VLOOKUP(B7,Lookup_Data!$A$5:$C$12,3,FALSE)</f>
        <v>999</v>
      </c>
      <c r="G7" s="12">
        <f t="shared" si="0"/>
        <v>11988</v>
      </c>
      <c r="H7" s="15">
        <f t="shared" si="1"/>
        <v>0.1</v>
      </c>
      <c r="I7" s="12">
        <f t="shared" si="2"/>
        <v>10789.2</v>
      </c>
      <c r="J7" s="12">
        <f t="shared" si="3"/>
        <v>14145.84</v>
      </c>
    </row>
    <row r="8" spans="1:10" x14ac:dyDescent="0.35">
      <c r="A8" s="3" t="s">
        <v>98</v>
      </c>
      <c r="B8" s="3" t="s">
        <v>78</v>
      </c>
      <c r="C8" s="3" t="s">
        <v>99</v>
      </c>
      <c r="D8" s="3" t="s">
        <v>75</v>
      </c>
      <c r="E8" s="3">
        <v>2</v>
      </c>
      <c r="F8" s="12">
        <f>VLOOKUP(B8,Lookup_Data!$A$5:$C$12,3,FALSE)</f>
        <v>4499</v>
      </c>
      <c r="G8" s="12">
        <f t="shared" si="0"/>
        <v>8998</v>
      </c>
      <c r="H8" s="15">
        <f t="shared" si="1"/>
        <v>0</v>
      </c>
      <c r="I8" s="12">
        <f t="shared" si="2"/>
        <v>8998</v>
      </c>
      <c r="J8" s="12">
        <f t="shared" si="3"/>
        <v>10617.64</v>
      </c>
    </row>
    <row r="9" spans="1:10" x14ac:dyDescent="0.35">
      <c r="A9" s="3" t="s">
        <v>100</v>
      </c>
      <c r="B9" s="3" t="s">
        <v>70</v>
      </c>
      <c r="C9" s="3" t="s">
        <v>94</v>
      </c>
      <c r="D9" s="3" t="s">
        <v>63</v>
      </c>
      <c r="E9" s="3">
        <v>8</v>
      </c>
      <c r="F9" s="12">
        <f>VLOOKUP(B9,Lookup_Data!$A$5:$C$12,3,FALSE)</f>
        <v>1599</v>
      </c>
      <c r="G9" s="12">
        <f t="shared" si="0"/>
        <v>12792</v>
      </c>
      <c r="H9" s="15">
        <f t="shared" si="1"/>
        <v>0.1</v>
      </c>
      <c r="I9" s="12">
        <f t="shared" si="2"/>
        <v>11512.800000000001</v>
      </c>
      <c r="J9" s="12">
        <f t="shared" si="3"/>
        <v>15094.56</v>
      </c>
    </row>
    <row r="10" spans="1:10" x14ac:dyDescent="0.35">
      <c r="A10" s="3" t="s">
        <v>101</v>
      </c>
      <c r="B10" s="3" t="s">
        <v>76</v>
      </c>
      <c r="C10" s="3" t="s">
        <v>96</v>
      </c>
      <c r="D10" s="3" t="s">
        <v>66</v>
      </c>
      <c r="E10" s="3">
        <v>4</v>
      </c>
      <c r="F10" s="12">
        <f>VLOOKUP(B10,Lookup_Data!$A$5:$C$12,3,FALSE)</f>
        <v>1899</v>
      </c>
      <c r="G10" s="12">
        <f t="shared" si="0"/>
        <v>7596</v>
      </c>
      <c r="H10" s="15">
        <f t="shared" si="1"/>
        <v>0</v>
      </c>
      <c r="I10" s="12">
        <f t="shared" si="2"/>
        <v>7596</v>
      </c>
      <c r="J10" s="12">
        <f t="shared" si="3"/>
        <v>8963.2799999999988</v>
      </c>
    </row>
    <row r="11" spans="1:10" x14ac:dyDescent="0.35">
      <c r="A11" s="3" t="s">
        <v>102</v>
      </c>
      <c r="B11" s="3" t="s">
        <v>80</v>
      </c>
      <c r="C11" s="3" t="s">
        <v>99</v>
      </c>
      <c r="D11" s="3" t="s">
        <v>69</v>
      </c>
      <c r="E11" s="3">
        <v>1</v>
      </c>
      <c r="F11" s="12">
        <f>VLOOKUP(B11,Lookup_Data!$A$5:$C$12,3,FALSE)</f>
        <v>6999</v>
      </c>
      <c r="G11" s="12">
        <f t="shared" si="0"/>
        <v>6999</v>
      </c>
      <c r="H11" s="15">
        <f t="shared" si="1"/>
        <v>0</v>
      </c>
      <c r="I11" s="12">
        <f t="shared" si="2"/>
        <v>6999</v>
      </c>
      <c r="J11" s="12">
        <f t="shared" si="3"/>
        <v>8258.82</v>
      </c>
    </row>
    <row r="12" spans="1:10" x14ac:dyDescent="0.35">
      <c r="A12" s="3" t="s">
        <v>103</v>
      </c>
      <c r="B12" s="3" t="s">
        <v>61</v>
      </c>
      <c r="C12" s="3" t="s">
        <v>92</v>
      </c>
      <c r="D12" s="3" t="s">
        <v>75</v>
      </c>
      <c r="E12" s="3">
        <v>15</v>
      </c>
      <c r="F12" s="12">
        <f>VLOOKUP(B12,Lookup_Data!$A$5:$C$12,3,FALSE)</f>
        <v>799</v>
      </c>
      <c r="G12" s="12">
        <f t="shared" si="0"/>
        <v>11985</v>
      </c>
      <c r="H12" s="15">
        <f t="shared" si="1"/>
        <v>0.1</v>
      </c>
      <c r="I12" s="12">
        <f t="shared" si="2"/>
        <v>10786.5</v>
      </c>
      <c r="J12" s="12">
        <f t="shared" si="3"/>
        <v>14142.3</v>
      </c>
    </row>
    <row r="13" spans="1:10" x14ac:dyDescent="0.35">
      <c r="A13" s="3" t="s">
        <v>104</v>
      </c>
      <c r="B13" s="3" t="s">
        <v>67</v>
      </c>
      <c r="C13" s="3" t="s">
        <v>96</v>
      </c>
      <c r="D13" s="3" t="s">
        <v>72</v>
      </c>
      <c r="E13" s="3">
        <v>2</v>
      </c>
      <c r="F13" s="12">
        <f>VLOOKUP(B13,Lookup_Data!$A$5:$C$12,3,FALSE)</f>
        <v>12999</v>
      </c>
      <c r="G13" s="12">
        <f t="shared" si="0"/>
        <v>25998</v>
      </c>
      <c r="H13" s="15">
        <f t="shared" si="1"/>
        <v>0.1</v>
      </c>
      <c r="I13" s="12">
        <f t="shared" si="2"/>
        <v>23398.2</v>
      </c>
      <c r="J13" s="12">
        <f t="shared" si="3"/>
        <v>30677.64</v>
      </c>
    </row>
    <row r="16" spans="1:10" x14ac:dyDescent="0.35">
      <c r="A16" s="5" t="s">
        <v>42</v>
      </c>
    </row>
    <row r="17" spans="1:5" x14ac:dyDescent="0.35">
      <c r="A17" s="6" t="s">
        <v>105</v>
      </c>
      <c r="C17" s="16">
        <f>SUMIFS(G4:G13,C4:C13,"North",B4:B13,"P001")</f>
        <v>14382</v>
      </c>
    </row>
    <row r="18" spans="1:5" x14ac:dyDescent="0.35">
      <c r="A18" s="6" t="s">
        <v>106</v>
      </c>
      <c r="C18" s="16">
        <f>INDEX(Lookup_Data!$F$5:$K$9,MATCH("Aman",Lookup_Data!$E$5:$E$9,0),MATCH("Mar",Lookup_Data!$F$4:$K$4,0))</f>
        <v>62000</v>
      </c>
    </row>
    <row r="19" spans="1:5" x14ac:dyDescent="0.35">
      <c r="A19" s="6" t="s">
        <v>107</v>
      </c>
      <c r="C19" s="16">
        <f>_xlfn.XLOOKUP("Mar",Lookup_Data!$F$4:$K$4,INDEX(Lookup_Data!$F$5:$K$9,MATCH("Aman",Lookup_Data!$E$5:$E$9,0),0))</f>
        <v>62000</v>
      </c>
    </row>
    <row r="20" spans="1:5" x14ac:dyDescent="0.35">
      <c r="A20" s="6" t="s">
        <v>108</v>
      </c>
      <c r="C20" s="7">
        <f>_xlfn.XMATCH("P005",Lookup_Data!$A$5:$A$12)</f>
        <v>5</v>
      </c>
    </row>
    <row r="21" spans="1:5" x14ac:dyDescent="0.35">
      <c r="A21" s="6" t="s">
        <v>109</v>
      </c>
      <c r="C21" s="7">
        <f>MATCH("P005",Lookup_Data!$A$5:$A$12,0)</f>
        <v>5</v>
      </c>
    </row>
    <row r="22" spans="1:5" x14ac:dyDescent="0.35">
      <c r="A22" s="6" t="s">
        <v>110</v>
      </c>
      <c r="C22" s="16">
        <f ca="1">SUM(OFFSET(Lookup_Data!$E$5,0,1,1,3))</f>
        <v>158000</v>
      </c>
      <c r="E22" s="11" t="s">
        <v>111</v>
      </c>
    </row>
    <row r="23" spans="1:5" x14ac:dyDescent="0.35">
      <c r="A23" s="6" t="s">
        <v>112</v>
      </c>
      <c r="C23" s="16">
        <f ca="1">SUM(INDIRECT("Lookup_Data!F6:F10"))</f>
        <v>179000</v>
      </c>
      <c r="E23" s="11" t="s">
        <v>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7"/>
  <sheetViews>
    <sheetView workbookViewId="0"/>
  </sheetViews>
  <sheetFormatPr defaultRowHeight="14.5" x14ac:dyDescent="0.35"/>
  <cols>
    <col min="1" max="1" width="26" customWidth="1"/>
    <col min="2" max="2" width="16" customWidth="1"/>
    <col min="3" max="3" width="12" customWidth="1"/>
    <col min="4" max="5" width="14" customWidth="1"/>
    <col min="6" max="7" width="12" customWidth="1"/>
    <col min="8" max="8" width="16" customWidth="1"/>
    <col min="9" max="9" width="12" customWidth="1"/>
    <col min="10" max="10" width="14" customWidth="1"/>
    <col min="11" max="11" width="16" customWidth="1"/>
    <col min="12" max="12" width="14" customWidth="1"/>
  </cols>
  <sheetData>
    <row r="1" spans="1:12" ht="22" customHeight="1" x14ac:dyDescent="0.4">
      <c r="A1" s="1" t="s">
        <v>114</v>
      </c>
    </row>
    <row r="3" spans="1:12" x14ac:dyDescent="0.3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</row>
    <row r="4" spans="1:12" x14ac:dyDescent="0.35">
      <c r="A4" s="3" t="s">
        <v>127</v>
      </c>
      <c r="B4" s="3" t="s">
        <v>128</v>
      </c>
      <c r="C4" s="3" t="s">
        <v>0</v>
      </c>
      <c r="D4" s="17">
        <v>33677</v>
      </c>
      <c r="E4" s="17">
        <v>43252</v>
      </c>
      <c r="F4" s="12">
        <v>58000</v>
      </c>
      <c r="G4" s="3">
        <f t="shared" ref="G4:G11" ca="1" si="0">DATEDIF(D4,TODAY(),"y")</f>
        <v>34</v>
      </c>
      <c r="H4" s="18">
        <f t="shared" ref="H4:H11" ca="1" si="1">TODAY()-E4</f>
        <v>3013</v>
      </c>
      <c r="I4" s="12">
        <f t="shared" ref="I4:I11" si="2">F4*0.1</f>
        <v>5800</v>
      </c>
      <c r="J4" s="12">
        <f t="shared" ref="J4:J11" si="3">ROUND(I4,0)</f>
        <v>5800</v>
      </c>
      <c r="K4" s="12">
        <f t="shared" ref="K4:K11" si="4">CEILING(I4,100)</f>
        <v>5800</v>
      </c>
      <c r="L4" s="12">
        <f t="shared" ref="L4:L11" si="5">FLOOR(I4,100)</f>
        <v>5800</v>
      </c>
    </row>
    <row r="5" spans="1:12" x14ac:dyDescent="0.35">
      <c r="A5" s="3" t="s">
        <v>129</v>
      </c>
      <c r="B5" s="3" t="s">
        <v>130</v>
      </c>
      <c r="C5" s="3" t="s">
        <v>0</v>
      </c>
      <c r="D5" s="17">
        <v>34902</v>
      </c>
      <c r="E5" s="17">
        <v>43845</v>
      </c>
      <c r="F5" s="12">
        <v>52000</v>
      </c>
      <c r="G5" s="3">
        <f t="shared" ca="1" si="0"/>
        <v>31</v>
      </c>
      <c r="H5" s="18">
        <f t="shared" ca="1" si="1"/>
        <v>2420</v>
      </c>
      <c r="I5" s="12">
        <f t="shared" si="2"/>
        <v>5200</v>
      </c>
      <c r="J5" s="12">
        <f t="shared" si="3"/>
        <v>5200</v>
      </c>
      <c r="K5" s="12">
        <f t="shared" si="4"/>
        <v>5200</v>
      </c>
      <c r="L5" s="12">
        <f t="shared" si="5"/>
        <v>5200</v>
      </c>
    </row>
    <row r="6" spans="1:12" x14ac:dyDescent="0.35">
      <c r="A6" s="3" t="s">
        <v>131</v>
      </c>
      <c r="B6" s="3" t="s">
        <v>132</v>
      </c>
      <c r="C6" s="3" t="s">
        <v>0</v>
      </c>
      <c r="D6" s="17">
        <v>32452</v>
      </c>
      <c r="E6" s="17">
        <v>42073</v>
      </c>
      <c r="F6" s="12">
        <v>71000</v>
      </c>
      <c r="G6" s="3">
        <f t="shared" ca="1" si="0"/>
        <v>37</v>
      </c>
      <c r="H6" s="18">
        <f t="shared" ca="1" si="1"/>
        <v>4192</v>
      </c>
      <c r="I6" s="12">
        <f t="shared" si="2"/>
        <v>7100</v>
      </c>
      <c r="J6" s="12">
        <f t="shared" si="3"/>
        <v>7100</v>
      </c>
      <c r="K6" s="12">
        <f t="shared" si="4"/>
        <v>7100</v>
      </c>
      <c r="L6" s="12">
        <f t="shared" si="5"/>
        <v>7100</v>
      </c>
    </row>
    <row r="7" spans="1:12" x14ac:dyDescent="0.35">
      <c r="A7" s="3" t="s">
        <v>133</v>
      </c>
      <c r="B7" s="3" t="s">
        <v>134</v>
      </c>
      <c r="C7" s="3" t="s">
        <v>0</v>
      </c>
      <c r="D7" s="17">
        <v>35460</v>
      </c>
      <c r="E7" s="17">
        <v>44431</v>
      </c>
      <c r="F7" s="12">
        <v>49000</v>
      </c>
      <c r="G7" s="3">
        <f t="shared" ca="1" si="0"/>
        <v>29</v>
      </c>
      <c r="H7" s="18">
        <f t="shared" ca="1" si="1"/>
        <v>1834</v>
      </c>
      <c r="I7" s="12">
        <f t="shared" si="2"/>
        <v>4900</v>
      </c>
      <c r="J7" s="12">
        <f t="shared" si="3"/>
        <v>4900</v>
      </c>
      <c r="K7" s="12">
        <f t="shared" si="4"/>
        <v>4900</v>
      </c>
      <c r="L7" s="12">
        <f t="shared" si="5"/>
        <v>4900</v>
      </c>
    </row>
    <row r="8" spans="1:12" x14ac:dyDescent="0.35">
      <c r="A8" s="3" t="s">
        <v>135</v>
      </c>
      <c r="B8" s="3" t="s">
        <v>136</v>
      </c>
      <c r="C8" s="3" t="s">
        <v>0</v>
      </c>
      <c r="D8" s="17">
        <v>33134</v>
      </c>
      <c r="E8" s="17">
        <v>43046</v>
      </c>
      <c r="F8" s="12">
        <v>64000</v>
      </c>
      <c r="G8" s="3">
        <f t="shared" ca="1" si="0"/>
        <v>35</v>
      </c>
      <c r="H8" s="18">
        <f t="shared" ca="1" si="1"/>
        <v>3219</v>
      </c>
      <c r="I8" s="12">
        <f t="shared" si="2"/>
        <v>6400</v>
      </c>
      <c r="J8" s="12">
        <f t="shared" si="3"/>
        <v>6400</v>
      </c>
      <c r="K8" s="12">
        <f t="shared" si="4"/>
        <v>6400</v>
      </c>
      <c r="L8" s="12">
        <f t="shared" si="5"/>
        <v>6400</v>
      </c>
    </row>
    <row r="9" spans="1:12" x14ac:dyDescent="0.35">
      <c r="A9" s="3" t="s">
        <v>137</v>
      </c>
      <c r="B9" s="3" t="s">
        <v>138</v>
      </c>
      <c r="C9" s="3" t="s">
        <v>139</v>
      </c>
      <c r="D9" s="17">
        <v>34456</v>
      </c>
      <c r="E9" s="17">
        <v>44606</v>
      </c>
      <c r="F9" s="12">
        <v>46000</v>
      </c>
      <c r="G9" s="3">
        <f t="shared" ca="1" si="0"/>
        <v>32</v>
      </c>
      <c r="H9" s="18">
        <f t="shared" ca="1" si="1"/>
        <v>1659</v>
      </c>
      <c r="I9" s="12">
        <f t="shared" si="2"/>
        <v>4600</v>
      </c>
      <c r="J9" s="12">
        <f t="shared" si="3"/>
        <v>4600</v>
      </c>
      <c r="K9" s="12">
        <f t="shared" si="4"/>
        <v>4600</v>
      </c>
      <c r="L9" s="12">
        <f t="shared" si="5"/>
        <v>4600</v>
      </c>
    </row>
    <row r="10" spans="1:12" x14ac:dyDescent="0.35">
      <c r="A10" s="3" t="s">
        <v>140</v>
      </c>
      <c r="B10" s="3" t="s">
        <v>141</v>
      </c>
      <c r="C10" s="3" t="s">
        <v>142</v>
      </c>
      <c r="D10" s="17">
        <v>31392</v>
      </c>
      <c r="E10" s="17">
        <v>41456</v>
      </c>
      <c r="F10" s="12">
        <v>88000</v>
      </c>
      <c r="G10" s="3">
        <f t="shared" ca="1" si="0"/>
        <v>40</v>
      </c>
      <c r="H10" s="18">
        <f t="shared" ca="1" si="1"/>
        <v>4809</v>
      </c>
      <c r="I10" s="12">
        <f t="shared" si="2"/>
        <v>8800</v>
      </c>
      <c r="J10" s="12">
        <f t="shared" si="3"/>
        <v>8800</v>
      </c>
      <c r="K10" s="12">
        <f t="shared" si="4"/>
        <v>8800</v>
      </c>
      <c r="L10" s="12">
        <f t="shared" si="5"/>
        <v>8800</v>
      </c>
    </row>
    <row r="11" spans="1:12" x14ac:dyDescent="0.35">
      <c r="A11" s="3" t="s">
        <v>143</v>
      </c>
      <c r="B11" s="3" t="s">
        <v>144</v>
      </c>
      <c r="C11" s="3" t="s">
        <v>145</v>
      </c>
      <c r="D11" s="17">
        <v>35894</v>
      </c>
      <c r="E11" s="17">
        <v>45174</v>
      </c>
      <c r="F11" s="12">
        <v>42000</v>
      </c>
      <c r="G11" s="3">
        <f t="shared" ca="1" si="0"/>
        <v>28</v>
      </c>
      <c r="H11" s="18">
        <f t="shared" ca="1" si="1"/>
        <v>1091</v>
      </c>
      <c r="I11" s="12">
        <f t="shared" si="2"/>
        <v>4200</v>
      </c>
      <c r="J11" s="12">
        <f t="shared" si="3"/>
        <v>4200</v>
      </c>
      <c r="K11" s="12">
        <f t="shared" si="4"/>
        <v>4200</v>
      </c>
      <c r="L11" s="12">
        <f t="shared" si="5"/>
        <v>4200</v>
      </c>
    </row>
    <row r="14" spans="1:12" x14ac:dyDescent="0.35">
      <c r="A14" s="5" t="s">
        <v>146</v>
      </c>
    </row>
    <row r="15" spans="1:12" x14ac:dyDescent="0.35">
      <c r="A15" t="s">
        <v>147</v>
      </c>
      <c r="B15" s="19" t="s">
        <v>131</v>
      </c>
    </row>
    <row r="16" spans="1:12" x14ac:dyDescent="0.35">
      <c r="A16" t="s">
        <v>148</v>
      </c>
      <c r="B16" s="20">
        <f>_xlfn.XLOOKUP(B15,A4:A11,F4:F11)</f>
        <v>71000</v>
      </c>
    </row>
    <row r="17" spans="1:2" x14ac:dyDescent="0.35">
      <c r="A17" t="s">
        <v>149</v>
      </c>
      <c r="B17" s="20">
        <f>INDEX(F4:F11,MATCH(B15,A4:A11,0))</f>
        <v>71000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Lookup_Data</vt:lpstr>
      <vt:lpstr>Sales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LP TECH</cp:lastModifiedBy>
  <dcterms:created xsi:type="dcterms:W3CDTF">2026-08-26T08:20:39Z</dcterms:created>
  <dcterms:modified xsi:type="dcterms:W3CDTF">2026-08-31T13:07:53Z</dcterms:modified>
</cp:coreProperties>
</file>